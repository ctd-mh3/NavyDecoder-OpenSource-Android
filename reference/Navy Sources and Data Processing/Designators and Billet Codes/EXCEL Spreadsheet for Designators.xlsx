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michael/Development/StudioProjects/NavyDecoder-OpenSource/reference/Navy Sources and Data Processing/Designators and Billet Codes/"/>
    </mc:Choice>
  </mc:AlternateContent>
  <xr:revisionPtr revIDLastSave="0" documentId="13_ncr:1_{616F7353-DD6F-124C-9765-ABEB2B758336}" xr6:coauthVersionLast="47" xr6:coauthVersionMax="47" xr10:uidLastSave="{00000000-0000-0000-0000-000000000000}"/>
  <bookViews>
    <workbookView xWindow="38400" yWindow="600" windowWidth="37860" windowHeight="21000" activeTab="3" xr2:uid="{00000000-000D-0000-FFFF-FFFF00000000}"/>
  </bookViews>
  <sheets>
    <sheet name="Source" sheetId="2" r:id="rId1"/>
    <sheet name="Original" sheetId="1" r:id="rId2"/>
    <sheet name="Billet Codes" sheetId="3" r:id="rId3"/>
    <sheet name="Designator Codes" sheetId="4" r:id="rId4"/>
  </sheets>
  <definedNames>
    <definedName name="_xlnm._FilterDatabase" localSheetId="2" hidden="1">'Billet Codes'!$A$1:$E$149</definedName>
    <definedName name="_xlnm._FilterDatabase" localSheetId="3" hidden="1">'Designator Codes'!$A$1:$E$218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2" i="4"/>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2" i="3"/>
  <c r="B66" i="4"/>
  <c r="D66" i="4" s="1"/>
  <c r="B67" i="4"/>
  <c r="D67" i="4" s="1"/>
  <c r="B68" i="4"/>
  <c r="D68" i="4" s="1"/>
  <c r="B69" i="4"/>
  <c r="D69" i="4" s="1"/>
  <c r="B70" i="4"/>
  <c r="D70" i="4" s="1"/>
  <c r="B71" i="4"/>
  <c r="B72" i="4"/>
  <c r="D72" i="4" s="1"/>
  <c r="B73" i="4"/>
  <c r="D73" i="4" s="1"/>
  <c r="B74" i="4"/>
  <c r="D74" i="4" s="1"/>
  <c r="B75" i="4"/>
  <c r="D75" i="4" s="1"/>
  <c r="B76" i="4"/>
  <c r="B77" i="4"/>
  <c r="B78" i="4"/>
  <c r="B79" i="4"/>
  <c r="D79" i="4" s="1"/>
  <c r="B80" i="4"/>
  <c r="B81" i="4"/>
  <c r="D81" i="4" s="1"/>
  <c r="B82" i="4"/>
  <c r="B83" i="4"/>
  <c r="B84" i="4"/>
  <c r="D84" i="4" s="1"/>
  <c r="B85" i="4"/>
  <c r="D85" i="4" s="1"/>
  <c r="B86" i="4"/>
  <c r="D86" i="4" s="1"/>
  <c r="B87" i="4"/>
  <c r="D87" i="4" s="1"/>
  <c r="B88" i="4"/>
  <c r="B89" i="4"/>
  <c r="D89" i="4" s="1"/>
  <c r="B90" i="4"/>
  <c r="B91" i="4"/>
  <c r="D91" i="4" s="1"/>
  <c r="B92" i="4"/>
  <c r="D92" i="4" s="1"/>
  <c r="B93" i="4"/>
  <c r="D93" i="4" s="1"/>
  <c r="B94" i="4"/>
  <c r="B95" i="4"/>
  <c r="B96" i="4"/>
  <c r="B97" i="4"/>
  <c r="B98" i="4"/>
  <c r="D98" i="4" s="1"/>
  <c r="B99" i="4"/>
  <c r="D99" i="4" s="1"/>
  <c r="B100" i="4"/>
  <c r="B101" i="4"/>
  <c r="B102" i="4"/>
  <c r="D102" i="4" s="1"/>
  <c r="B103" i="4"/>
  <c r="D103" i="4" s="1"/>
  <c r="B104" i="4"/>
  <c r="D104" i="4" s="1"/>
  <c r="B105" i="4"/>
  <c r="D105" i="4" s="1"/>
  <c r="D77" i="4"/>
  <c r="D78" i="4"/>
  <c r="D83" i="4"/>
  <c r="D88" i="4"/>
  <c r="D90" i="4"/>
  <c r="D101" i="4"/>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65" i="4"/>
  <c r="B64" i="4"/>
  <c r="B63" i="4"/>
  <c r="D63" i="4" s="1"/>
  <c r="B62" i="4"/>
  <c r="B61" i="4"/>
  <c r="D61" i="4" s="1"/>
  <c r="B60" i="4"/>
  <c r="B59" i="4"/>
  <c r="B58" i="4"/>
  <c r="B57" i="4"/>
  <c r="B56" i="4"/>
  <c r="B55" i="4"/>
  <c r="B54" i="4"/>
  <c r="D54" i="4" s="1"/>
  <c r="B53" i="4"/>
  <c r="B52" i="4"/>
  <c r="B51" i="4"/>
  <c r="B50" i="4"/>
  <c r="B49" i="4"/>
  <c r="B48" i="4"/>
  <c r="B47" i="4"/>
  <c r="B46" i="4"/>
  <c r="B45" i="4"/>
  <c r="D45" i="4" s="1"/>
  <c r="B44" i="4"/>
  <c r="B43" i="4"/>
  <c r="B42" i="4"/>
  <c r="D42" i="4" s="1"/>
  <c r="B41" i="4"/>
  <c r="B40" i="4"/>
  <c r="D40" i="4" s="1"/>
  <c r="B39" i="4"/>
  <c r="B38" i="4"/>
  <c r="B37" i="4"/>
  <c r="B36" i="4"/>
  <c r="B35" i="4"/>
  <c r="B34" i="4"/>
  <c r="B33" i="4"/>
  <c r="B32" i="4"/>
  <c r="B31" i="4"/>
  <c r="B30" i="4"/>
  <c r="B29" i="4"/>
  <c r="B28" i="4"/>
  <c r="D28" i="4" s="1"/>
  <c r="B27" i="4"/>
  <c r="B26" i="4"/>
  <c r="B25" i="4"/>
  <c r="D25" i="4" s="1"/>
  <c r="B24" i="4"/>
  <c r="B23" i="4"/>
  <c r="D23" i="4" s="1"/>
  <c r="B22" i="4"/>
  <c r="B21" i="4"/>
  <c r="D21" i="4" s="1"/>
  <c r="B20" i="4"/>
  <c r="B19" i="4"/>
  <c r="D19" i="4" s="1"/>
  <c r="B18" i="4"/>
  <c r="B17" i="4"/>
  <c r="B16" i="4"/>
  <c r="B15" i="4"/>
  <c r="D15" i="4" s="1"/>
  <c r="B14" i="4"/>
  <c r="D14" i="4" s="1"/>
  <c r="B13" i="4"/>
  <c r="B12" i="4"/>
  <c r="D12" i="4" s="1"/>
  <c r="B11" i="4"/>
  <c r="D11" i="4" s="1"/>
  <c r="B10" i="4"/>
  <c r="B9" i="4"/>
  <c r="B8" i="4"/>
  <c r="B7" i="4"/>
  <c r="B6" i="4"/>
  <c r="D6" i="4" s="1"/>
  <c r="B5" i="4"/>
  <c r="B4" i="4"/>
  <c r="D4" i="4" s="1"/>
  <c r="B3" i="4"/>
  <c r="B2" i="4"/>
  <c r="D2" i="4" s="1"/>
  <c r="B88" i="3"/>
  <c r="D88" i="3" s="1"/>
  <c r="B87" i="3"/>
  <c r="B86" i="3"/>
  <c r="D86" i="3" s="1"/>
  <c r="B85" i="3"/>
  <c r="B84" i="3"/>
  <c r="D84" i="3" s="1"/>
  <c r="B83" i="3"/>
  <c r="B82" i="3"/>
  <c r="D82" i="3" s="1"/>
  <c r="B81" i="3"/>
  <c r="B80" i="3"/>
  <c r="B79" i="3"/>
  <c r="D79" i="3" s="1"/>
  <c r="B78" i="3"/>
  <c r="B77" i="3"/>
  <c r="D77" i="3" s="1"/>
  <c r="B76" i="3"/>
  <c r="B75" i="3"/>
  <c r="B74" i="3"/>
  <c r="D74" i="3" s="1"/>
  <c r="B73" i="3"/>
  <c r="D73" i="3" s="1"/>
  <c r="B72" i="3"/>
  <c r="B71" i="3"/>
  <c r="B70" i="3"/>
  <c r="B69" i="3"/>
  <c r="D69" i="3" s="1"/>
  <c r="B68" i="3"/>
  <c r="B67" i="3"/>
  <c r="D67" i="3" s="1"/>
  <c r="B66" i="3"/>
  <c r="D66" i="3" s="1"/>
  <c r="B65" i="3"/>
  <c r="B64" i="3"/>
  <c r="B63" i="3"/>
  <c r="D63" i="3" s="1"/>
  <c r="B62" i="3"/>
  <c r="B61" i="3"/>
  <c r="B60" i="3"/>
  <c r="B59" i="3"/>
  <c r="B58" i="3"/>
  <c r="B57" i="3"/>
  <c r="B56" i="3"/>
  <c r="B55" i="3"/>
  <c r="D55" i="3" s="1"/>
  <c r="B54" i="3"/>
  <c r="D54" i="3" s="1"/>
  <c r="B53" i="3"/>
  <c r="B52" i="3"/>
  <c r="B51" i="3"/>
  <c r="D51" i="3" s="1"/>
  <c r="B50" i="3"/>
  <c r="B49" i="3"/>
  <c r="D49" i="3" s="1"/>
  <c r="B48" i="3"/>
  <c r="B47" i="3"/>
  <c r="D47" i="3" s="1"/>
  <c r="B46" i="3"/>
  <c r="B45" i="3"/>
  <c r="B44" i="3"/>
  <c r="D44" i="3" s="1"/>
  <c r="B43" i="3"/>
  <c r="B42" i="3"/>
  <c r="B41" i="3"/>
  <c r="B40" i="3"/>
  <c r="B39" i="3"/>
  <c r="D39" i="3" s="1"/>
  <c r="B38" i="3"/>
  <c r="B37" i="3"/>
  <c r="B36" i="3"/>
  <c r="D36" i="3" s="1"/>
  <c r="B35" i="3"/>
  <c r="B34" i="3"/>
  <c r="D34" i="3" s="1"/>
  <c r="B33" i="3"/>
  <c r="D33" i="3" s="1"/>
  <c r="B32" i="3"/>
  <c r="B31" i="3"/>
  <c r="B30" i="3"/>
  <c r="B29" i="3"/>
  <c r="D29" i="3" s="1"/>
  <c r="B28" i="3"/>
  <c r="B27" i="3"/>
  <c r="B26" i="3"/>
  <c r="D26" i="3" s="1"/>
  <c r="B25" i="3"/>
  <c r="B24" i="3"/>
  <c r="B23" i="3"/>
  <c r="B22" i="3"/>
  <c r="D22" i="3" s="1"/>
  <c r="B21" i="3"/>
  <c r="B20" i="3"/>
  <c r="D20" i="3" s="1"/>
  <c r="B19" i="3"/>
  <c r="B18" i="3"/>
  <c r="B17" i="3"/>
  <c r="B16" i="3"/>
  <c r="B15" i="3"/>
  <c r="B14" i="3"/>
  <c r="D14" i="3" s="1"/>
  <c r="B13" i="3"/>
  <c r="D13" i="3" s="1"/>
  <c r="B12" i="3"/>
  <c r="B11" i="3"/>
  <c r="B10" i="3"/>
  <c r="B9" i="3"/>
  <c r="B8" i="3"/>
  <c r="B7" i="3"/>
  <c r="B6" i="3"/>
  <c r="D6" i="3" s="1"/>
  <c r="B5" i="3"/>
  <c r="B4" i="3"/>
  <c r="B3" i="3"/>
  <c r="D3" i="3" s="1"/>
  <c r="B2" i="3"/>
  <c r="D71" i="4" l="1"/>
  <c r="D95" i="4"/>
  <c r="D96" i="4"/>
  <c r="D48" i="4"/>
  <c r="D76" i="4"/>
  <c r="D97" i="4"/>
  <c r="D80" i="4"/>
  <c r="D82" i="4"/>
  <c r="D100" i="4"/>
  <c r="D94" i="4"/>
  <c r="D37" i="4"/>
  <c r="D60" i="4"/>
  <c r="D35" i="4"/>
  <c r="D31" i="4"/>
  <c r="D7" i="4"/>
  <c r="D57" i="4"/>
  <c r="D56" i="4"/>
  <c r="D65" i="4"/>
  <c r="D43" i="4"/>
  <c r="D36" i="4"/>
  <c r="D27" i="4"/>
  <c r="D9" i="4"/>
  <c r="D51" i="4"/>
  <c r="D19" i="3"/>
  <c r="D57" i="3"/>
  <c r="D12" i="3"/>
  <c r="D64" i="3"/>
  <c r="D76" i="3"/>
  <c r="D15" i="3"/>
  <c r="D87" i="3"/>
  <c r="D78" i="3"/>
  <c r="D40" i="3"/>
  <c r="D48" i="3"/>
  <c r="D2" i="3"/>
  <c r="D28" i="3"/>
  <c r="D30" i="3"/>
  <c r="D41" i="3"/>
  <c r="D58" i="3"/>
  <c r="D8" i="3"/>
  <c r="D16" i="3"/>
  <c r="D32" i="3"/>
  <c r="D43" i="3"/>
  <c r="D18" i="3"/>
  <c r="D23" i="3"/>
  <c r="D59" i="3"/>
  <c r="D80" i="3"/>
  <c r="D61" i="3"/>
  <c r="D38" i="3"/>
  <c r="D37" i="3"/>
  <c r="D7" i="3"/>
  <c r="D24" i="3"/>
  <c r="D3" i="4"/>
  <c r="D53" i="4"/>
  <c r="D59" i="4"/>
  <c r="D8" i="4"/>
  <c r="D20" i="4"/>
  <c r="D33" i="4"/>
  <c r="D39" i="4"/>
  <c r="D10" i="4"/>
  <c r="D26" i="4"/>
  <c r="D30" i="4"/>
  <c r="D46" i="4"/>
  <c r="D50" i="4"/>
  <c r="D64" i="4"/>
  <c r="D22" i="4"/>
  <c r="D18" i="4"/>
  <c r="D29" i="4"/>
  <c r="D44" i="4"/>
  <c r="D49" i="4"/>
  <c r="D62" i="4"/>
  <c r="D5" i="4"/>
  <c r="D13" i="4"/>
  <c r="D17" i="4"/>
  <c r="D34" i="4"/>
  <c r="D41" i="4"/>
  <c r="D47" i="4"/>
  <c r="D55" i="4"/>
  <c r="D16" i="4"/>
  <c r="D24" i="4"/>
  <c r="D32" i="4"/>
  <c r="D38" i="4"/>
  <c r="D52" i="4"/>
  <c r="D58" i="4"/>
  <c r="D10" i="3"/>
  <c r="D4" i="3"/>
  <c r="D45" i="3"/>
  <c r="D70" i="3"/>
  <c r="D52" i="3"/>
  <c r="D11" i="3"/>
  <c r="D27" i="3"/>
  <c r="D31" i="3"/>
  <c r="D42" i="3"/>
  <c r="D62" i="3"/>
  <c r="D75" i="3"/>
  <c r="D83" i="3"/>
  <c r="D5" i="3"/>
  <c r="D21" i="3"/>
  <c r="D35" i="3"/>
  <c r="D46" i="3"/>
  <c r="D53" i="3"/>
  <c r="D65" i="3"/>
  <c r="D71" i="3"/>
  <c r="D9" i="3"/>
  <c r="D25" i="3"/>
  <c r="D17" i="3"/>
  <c r="D50" i="3"/>
  <c r="D56" i="3"/>
  <c r="D60" i="3"/>
  <c r="D68" i="3"/>
  <c r="D81" i="3"/>
  <c r="D72" i="3"/>
  <c r="D85" i="3"/>
</calcChain>
</file>

<file path=xl/sharedStrings.xml><?xml version="1.0" encoding="utf-8"?>
<sst xmlns="http://schemas.openxmlformats.org/spreadsheetml/2006/main" count="947" uniqueCount="449">
  <si>
    <t>a. Unrestricted Line</t>
  </si>
  <si>
    <t>1. Designator Codes and Descriptions</t>
  </si>
  <si>
    <t>Billet Code</t>
  </si>
  <si>
    <t>Billet</t>
  </si>
  <si>
    <t>Description</t>
  </si>
  <si>
    <t>Officer Code</t>
  </si>
  <si>
    <t>Officer</t>
  </si>
  <si>
    <t>Officer Community Manager (OCM)</t>
  </si>
  <si>
    <t xml:space="preserve">Billet which may be filled by any appropriately skilled and experienced Unrestricted Line Officer or Special Duty Officer </t>
  </si>
  <si>
    <t>N/A</t>
  </si>
  <si>
    <t xml:space="preserve">Billet which may be filled by any appropriately skilled and experienced Special Duty Officer (IP) or Unrestricted Line Officer </t>
  </si>
  <si>
    <t>DCNO (Manpower) (Space, Information Warfare Command and Control)</t>
  </si>
  <si>
    <t>Unrestricted Line Officer billet requiring an officer qualified in any one of the warfare specialties (LT and above)</t>
  </si>
  <si>
    <t>Unrestricted Line Officer billet requiring Fleet Support specialty</t>
  </si>
  <si>
    <t>110X</t>
  </si>
  <si>
    <t>An Unrestricted Line Officer who is not qualified in any warfare specialty or in training for any warfare specialty</t>
  </si>
  <si>
    <t>Unrestricted Line Officer billet requiring Surface Warfare qualification or afloat billets leading to such qualification</t>
  </si>
  <si>
    <t>111X</t>
  </si>
  <si>
    <t>An Unrestricted Line Officer who is qualified in Surface Warfare</t>
  </si>
  <si>
    <t>Unrestricted Line Officer billet requiring Submarine Warfare qualification or afloat billets leading to such qualification</t>
  </si>
  <si>
    <t>112X</t>
  </si>
  <si>
    <t>An Unrestricted Line Officer who is qualified in Submarine Warfare</t>
  </si>
  <si>
    <t>Unrestricted Line Officer billet requiring Special Warfare (SEAL) qualification</t>
  </si>
  <si>
    <t>113X</t>
  </si>
  <si>
    <t>An Unrestricted Line Officer who is qualified in Special Warfare</t>
  </si>
  <si>
    <t xml:space="preserve">Unrestricted Line Officer billet requiring Explosive Ordnance Disposal (EOD) Warfare Qualification </t>
  </si>
  <si>
    <t>114X</t>
  </si>
  <si>
    <t>An Unrestricted Line Officer who is qualified in Explosive Ordnance Disposal (EOD) Warfare</t>
  </si>
  <si>
    <t>Unrestricted Line Officer billet for an officer in training for Surface Warfare qualification</t>
  </si>
  <si>
    <t>116X</t>
  </si>
  <si>
    <t>Unrestricted Line Officer who is in training for Surface Warfare qualification</t>
  </si>
  <si>
    <t>Unrestricted Line Officer billet for an officer in training for Submarine Warfare qualification</t>
  </si>
  <si>
    <t>117X</t>
  </si>
  <si>
    <t>Unrestricted Line Officer who is in training for Submarine Warfare qualification</t>
  </si>
  <si>
    <t>Unrestricted Line Officer billet for a student in training for Special Warfare qualification</t>
  </si>
  <si>
    <t>118X</t>
  </si>
  <si>
    <t>Unrestricted Line Officer who is in training for Special Warfare qualification</t>
  </si>
  <si>
    <t>Unrestricted Line Officer billet for an officer in training for Explosive Ordnance Disposal (EOD) qualification</t>
  </si>
  <si>
    <t>119X</t>
  </si>
  <si>
    <t>Unrestricted Line Officer who is in training for Explosive Ordnance Disposal qualification</t>
  </si>
  <si>
    <t>DCNO (Manpower)</t>
  </si>
  <si>
    <t>ACNO (Surface warfare)</t>
  </si>
  <si>
    <t>ACNO (Undersea Warfare)</t>
  </si>
  <si>
    <t>ACNO (Expeditionary Warfare</t>
  </si>
  <si>
    <t>ACNO (Expeditionary Warfare)</t>
  </si>
  <si>
    <t>Special Duty Officer - Restricted Line Officer Billet requiring Human Resources specialty - Plan, program, and execute life-cycle management of our Navy's most important resource - people.</t>
  </si>
  <si>
    <t>120X</t>
  </si>
  <si>
    <t xml:space="preserve">Restricted Line Officer Billet (Nuclear Power School Instructor) regulated by Program Authorization 100B attached to Nuclear Power School, Charleston, SC. </t>
  </si>
  <si>
    <t>121X</t>
  </si>
  <si>
    <r>
      <t xml:space="preserve">Restricted Line Officer (Nuclear Power School Instructor) regulated by Program Authorization 100B. </t>
    </r>
    <r>
      <rPr>
        <b/>
        <sz val="10"/>
        <color theme="1"/>
        <rFont val="Times New Roman"/>
        <family val="1"/>
      </rPr>
      <t xml:space="preserve"> </t>
    </r>
  </si>
  <si>
    <t>DCNO (M&amp;P), N133C</t>
  </si>
  <si>
    <t>Restricted Line Officer Billet (Permanent Military Professor) regulated by OPNAVINST 1520.40</t>
  </si>
  <si>
    <t>Restricted Line Officer (Permanent Military Professor) regulated by OPNAVINST 1520.40</t>
  </si>
  <si>
    <t>Special Duty Officer-Restricted Line Officer Billet Requiring Recruiting Specialty of a permanent Recruiter (LT and LCDR)</t>
  </si>
  <si>
    <t>128X</t>
  </si>
  <si>
    <t>Special Duty Officer-Permanent Professional Recruiter Officer (Reserve Recruiting) (LT and LCDR)</t>
  </si>
  <si>
    <t>Special Duty Officer - Human Resource Officer A Restricted Line Officer of the Human Resources Community who will plan, program and execute life-cycle management of our Navy's most important resource - people.</t>
  </si>
  <si>
    <t>b. Restricted Line (Human Resources)</t>
  </si>
  <si>
    <t>c. Unrestricted Line (Aviation)</t>
  </si>
  <si>
    <t>*1300</t>
  </si>
  <si>
    <t>Unrestricted Line Officer billet, Code 0 - Other Than Operational Flying, requiring Air Warfare specialty of, or previous designation as, a pilot or NFO (LT and above)</t>
  </si>
  <si>
    <t>130X</t>
  </si>
  <si>
    <t>An Unrestricted Line Officer who is a member of the aeronautical community and whose rating as a pilot or NFO has been terminated.  (These officers may be assigned to 1000, 1050, 1300, 1310 or 1320 designated billets, if otherwise qualified.)</t>
  </si>
  <si>
    <t>*1301</t>
  </si>
  <si>
    <t>Unrestricted Line Officer billet, Code 1 - Operational Flying, requiring Air Warfare specialty of a pilot or NFO (LT and above)</t>
  </si>
  <si>
    <t>*1302</t>
  </si>
  <si>
    <t>Unrestricted Line Officer billet, Code 2 - Operational Flying, requiring Air Warfare specialty of a pilot or NFO</t>
  </si>
  <si>
    <t>*1310</t>
  </si>
  <si>
    <t>Unrestricted Line Officer billet, Code 0 - Other Than Operational Flying, requiring Aviation Warfare specialty of a pilot</t>
  </si>
  <si>
    <t>131X</t>
  </si>
  <si>
    <t>An Unrestricted Line Officer who is qualified for duty involving flying heavier-than-air, or heavier and lighter-than-air type of aircraft as a pilot</t>
  </si>
  <si>
    <t>*1311</t>
  </si>
  <si>
    <t>Unrestricted Line Officer billet, Code 1 - Operational Flying, requiring Aviation Warfare specialty of a pilot</t>
  </si>
  <si>
    <t>NA</t>
  </si>
  <si>
    <t>*1312</t>
  </si>
  <si>
    <t>Unrestricted Line Officer billet, Code 2 - Operational Flying, requiring Aviation Warfare specialty of a pilot</t>
  </si>
  <si>
    <t>*1320</t>
  </si>
  <si>
    <t>Unrestricted Line Officer billet, Code 0 - Other Than Operational Flying, requiring Aviation Warfare specialty of a Naval Flight Officer</t>
  </si>
  <si>
    <t>132X</t>
  </si>
  <si>
    <t>An Unrestricted Line Officer who is qualified for duty involving flying heavier-than-air or heavier and lighter-than-air type aircraft as a Naval Flight Officer</t>
  </si>
  <si>
    <t>*1321</t>
  </si>
  <si>
    <t>Unrestricted Line Officer billet, Code 1 - Operational Flying, requiring Aviation Warfare specialty of a Naval Flight Officer</t>
  </si>
  <si>
    <t>*1322</t>
  </si>
  <si>
    <t>Unrestricted Line Officer billet, Code 2 - Operational Flying, requiring Aviation Warfare specialty of a Naval Flight Officer</t>
  </si>
  <si>
    <t>*1372</t>
  </si>
  <si>
    <t>Unrestricted Line Officer billet, Code 2 - Operational Flying, for a student in training for Aviation Warfare (NFO) qualification</t>
  </si>
  <si>
    <t>137X</t>
  </si>
  <si>
    <t>An Unrestricted Line Officer who is in training for duty involving flying as a Naval Flight Officer</t>
  </si>
  <si>
    <t>*1392</t>
  </si>
  <si>
    <t>Unrestricted Line Officer billet, Code 2 - Operational Flying, for a student in training for Aviation Warfare (pilot) qualification</t>
  </si>
  <si>
    <t>139X</t>
  </si>
  <si>
    <t>An Unrestricted Line Officer who is in training for duty involving flying as a pilot</t>
  </si>
  <si>
    <t>Billets: ACNO (Air Warfare)       Officers: CHNAVPERS (PERS-43)</t>
  </si>
  <si>
    <t>ACNO (Air Warfare)</t>
  </si>
  <si>
    <t>*See definitions in Section 1, paragraph 2.b.</t>
  </si>
  <si>
    <t>d. Restricted Line (Engineering Duty)</t>
  </si>
  <si>
    <t>144X</t>
  </si>
  <si>
    <t>Engineering Duty Officer who is qualified as a Ship Engineering specialist IAW MILPERSMAN 1210-190.  They include specialists in Ship and Ship systems Engineering, Electronic Systems Engineering, Combat/Weapons Systems Engineering, and Ordnance Systems Engineering</t>
  </si>
  <si>
    <t>Engineering Duty Officer billet for an officer actively pursuing a prescribed program leading to designation as 144X</t>
  </si>
  <si>
    <t>146X</t>
  </si>
  <si>
    <t>Engineering Duty Officer who is in the process of completing the prescribed program leading to designation as 144X</t>
  </si>
  <si>
    <t>NOTE:  Subspecialty coding and justification must accompany requests for new 1440 billets.</t>
  </si>
  <si>
    <t>COMNAVSEA-SYSCOM, COMNAVWAR-SYSCOM</t>
  </si>
  <si>
    <t>Engineering Duty Officer billet requiring specialists in Ship Engineering, including Ship and Ship Systems Engineering, Electronic Systems Engineering, Combat/Weapons Systems Engineering, and Ordnance Systems Engineering. NOTE below applies.</t>
  </si>
  <si>
    <t>e. Restricted Line (Aerospace Engineering Duty)</t>
  </si>
  <si>
    <t>Aerospace Engineering Duty Officer billet requiring Aerospace Engineering (AED) or Aerospace maintenance (AMD) specialties (CAPT and above)</t>
  </si>
  <si>
    <t>150X</t>
  </si>
  <si>
    <t>A Restricted Line AED Flag Officer or Captain who was formerly either an AED officer (Aerospace Engineering--designator 151X) or an AMD officer (Aviation Maintenance--designator 152X)</t>
  </si>
  <si>
    <t>COMNAVAIR-SYSCOM</t>
  </si>
  <si>
    <t>151X</t>
  </si>
  <si>
    <t>Aerospace Engineering Duty Officer (Aerospace Engineering)</t>
  </si>
  <si>
    <t>*1511</t>
  </si>
  <si>
    <t>*1512</t>
  </si>
  <si>
    <t>*1540</t>
  </si>
  <si>
    <t>Aviation Duty Officer billet, Code 0 - Other Than Operational Flying, requiring Aviation Warfare specialty of a pilot (LT thru CAPT)</t>
  </si>
  <si>
    <t>154X</t>
  </si>
  <si>
    <t>Aviation Duty Officer</t>
  </si>
  <si>
    <t>*1541</t>
  </si>
  <si>
    <t>Aviation Duty Officer billet, Code 1 - Operational Flying, requiring Aviation Warfare specialty of a pilot (LT thru CAPT)</t>
  </si>
  <si>
    <t>*1542</t>
  </si>
  <si>
    <t>Aviation Duty Officer billet, Code 2 - Operational Flying, requiring Aviation Warfare specialty of a pilot (LT thru CAPT)</t>
  </si>
  <si>
    <t>Aerospace Engineering Duty Officer billet requiring Aerospace Engineering (AED) specialty. NOTE below applies</t>
  </si>
  <si>
    <t>Aerospace Engineering Duty Officer billet, Code 1 - Operational Flying, requiring the specialty of an Aerospace Engineering Duty (AED) officer who is a designated Pilot or Naval Flight Officer. NOTE below applies</t>
  </si>
  <si>
    <t>Aerospace Engineering Duty Officer billet, Code 2 - Operational Flying, requiring the specialty of an Aerospace Engineering Duty (AED) Officer who is a designated Pilot or Naval Flight Officer. NOTE below applies</t>
  </si>
  <si>
    <t>NOTE:  Subspecialty coding and justification must accompany requests for new 151X billets.</t>
  </si>
  <si>
    <t>f.  Restricted Line (Strategic Sealift and Public Affairs)</t>
  </si>
  <si>
    <t>Special Duty Officer billet requiring Public Affairs specialty</t>
  </si>
  <si>
    <t>165X</t>
  </si>
  <si>
    <t>Special Duty Officer - Public Affairs</t>
  </si>
  <si>
    <t>CHINFO</t>
  </si>
  <si>
    <t>Special Duty Officer billet requiring a Strategic Sealift Officer</t>
  </si>
  <si>
    <t>166X</t>
  </si>
  <si>
    <t>Special Duty Officer – Strategic Sealift Officer (SSO)</t>
  </si>
  <si>
    <t>MSC</t>
  </si>
  <si>
    <t>168X</t>
  </si>
  <si>
    <t>Special Duty Officer (Reserve Recruiting)</t>
  </si>
  <si>
    <t>CHNAVPERS (PERS-921)</t>
  </si>
  <si>
    <t>g. Restricted Line (Foreign Area Officer)</t>
  </si>
  <si>
    <t>Special Duty Officer billet requiring a qualified Foreign Area Officer or a Foreign Area Officer Under Instruction</t>
  </si>
  <si>
    <t>171X</t>
  </si>
  <si>
    <t>Special Duty Officer qualified as a Foreign Area Officer</t>
  </si>
  <si>
    <t>CNO (N131)</t>
  </si>
  <si>
    <t>Special Duty Officer billet requiring a Foreign Area Officer Code 2 – Operational Flying Involved, a qualified Foreign Area Officer or a Foreign Area Officer Under Instruction</t>
  </si>
  <si>
    <t>h. Restricted Line (Information Warfare Community)</t>
  </si>
  <si>
    <t>180X</t>
  </si>
  <si>
    <t>*1802</t>
  </si>
  <si>
    <t>OCEANAV</t>
  </si>
  <si>
    <t>181X</t>
  </si>
  <si>
    <t>182X</t>
  </si>
  <si>
    <t>183X</t>
  </si>
  <si>
    <t>184X</t>
  </si>
  <si>
    <t>Billets which may be filled by any appropriately skilled and experienced IWC Officer</t>
  </si>
  <si>
    <t>186X</t>
  </si>
  <si>
    <t>187X</t>
  </si>
  <si>
    <t>188X</t>
  </si>
  <si>
    <t>i. Unrestricted Line - Prospective Staff Corps</t>
  </si>
  <si>
    <t>Unrestricted Line Officer student billet for a prospective Nurse Corps officer</t>
  </si>
  <si>
    <t>190X</t>
  </si>
  <si>
    <t>An Unrestricted Line Officer under instruction as a prospective Nurse Corps officer</t>
  </si>
  <si>
    <t>BUMED-15</t>
  </si>
  <si>
    <t>Unrestricted Line Officer student billet for a prospective Medical Corps officer (Senior Medical Student Program)</t>
  </si>
  <si>
    <t>191X</t>
  </si>
  <si>
    <t>An Unrestricted Line Officer under instruction as a prospective Medical Corps officer (Senior Medical Student)</t>
  </si>
  <si>
    <t>Unrestricted Line Officer student billet for a prospective Dental Corps officer</t>
  </si>
  <si>
    <t>192X</t>
  </si>
  <si>
    <t>An Unrestricted Line Officer under instruction as a prospective Dental Corps officer</t>
  </si>
  <si>
    <t>Unrestricted Line Officer student billet for a prospective Medical Service officer (Optometry)</t>
  </si>
  <si>
    <t>193X</t>
  </si>
  <si>
    <r>
      <t xml:space="preserve">An Unrestricted Line Officer under instruction as a prospective Medical Service officer </t>
    </r>
    <r>
      <rPr>
        <sz val="9.5"/>
        <color theme="1"/>
        <rFont val="Times New Roman"/>
        <family val="1"/>
      </rPr>
      <t>(Optometry)</t>
    </r>
  </si>
  <si>
    <t>**194X</t>
  </si>
  <si>
    <t>An Unrestricted Line Officer under instruction as a prospective Chaplain Corps officer</t>
  </si>
  <si>
    <t>Unrestricted Line Officer student billet for a prospective Judge Advocate General’s Corps Officer Law Education Program (LEP)</t>
  </si>
  <si>
    <t>195X</t>
  </si>
  <si>
    <t>An Unrestricted Line Officer under instruction as a prospective Judge Advocate General's Corps officer</t>
  </si>
  <si>
    <t>JAG</t>
  </si>
  <si>
    <t>Unrestricted Line Officer student billet for a prospective Medical Corps officer (Medical /Osteopathic Scholarship Program)</t>
  </si>
  <si>
    <t>196X</t>
  </si>
  <si>
    <t>An Unrestricted Line Officer under instruction as a prospective Medical Corps officer (Medical /Osteopathic Scholarship Program)</t>
  </si>
  <si>
    <t>**197X</t>
  </si>
  <si>
    <t>An Unrestricted Line Officer under instruction in the Armed Forces Health Professions Scholarship Program (Medical/Osteopathic)</t>
  </si>
  <si>
    <t>**198X</t>
  </si>
  <si>
    <t>An Unrestricted Line Officer under instruction in the Armed Forces Health Professions Scholarship Program (Dental)</t>
  </si>
  <si>
    <t>**199X</t>
  </si>
  <si>
    <t>An Unrestricted Line Officer under instruction in the Armed Forces Health Professions Scholarship Program (Medical Service Corps)</t>
  </si>
  <si>
    <t>Chief of Chaplains</t>
  </si>
  <si>
    <t>CHIEF OF CHAPLAINS</t>
  </si>
  <si>
    <t>** Authorized for Naval Reserve Officers only.</t>
  </si>
  <si>
    <t>j. Staff Corps</t>
  </si>
  <si>
    <t>Medical Department (Medical Admin) Officer billet which may be filled by an appropriately skilled and experienced individual of one of the Medical Department officer communities (LCDR and above)</t>
  </si>
  <si>
    <t>Staff Corps Officer billet requiring Medical specialty</t>
  </si>
  <si>
    <t>210X</t>
  </si>
  <si>
    <t>A Medical Corps Officer</t>
  </si>
  <si>
    <t>*2102</t>
  </si>
  <si>
    <t>Staff Corps Officer billet Code 2 - Operational Flying, requiring Medical specialty of a qualified Flight Surgeon</t>
  </si>
  <si>
    <t>Staff Corps Officer billet requiring Dental specialty</t>
  </si>
  <si>
    <t>220X</t>
  </si>
  <si>
    <t>A Dental Corps Officer</t>
  </si>
  <si>
    <t>Staff Corps Officer billet requiring Medical Service (Health Care Administration, Medical Allied Science, Optometry, Pharmacy, or Medical Specialist) specialty</t>
  </si>
  <si>
    <t>230X</t>
  </si>
  <si>
    <t>A Medical Service Corps Officer</t>
  </si>
  <si>
    <t>*2302</t>
  </si>
  <si>
    <t>Staff Corps Officer billet, Code 2 - Operational Flying, requiring specialty of a qualified Aviation Physiologist, Aviation Experimental Psychologist, or Flight Physician Assistant</t>
  </si>
  <si>
    <t>Staff Corps Officer billet requiring Law specialty</t>
  </si>
  <si>
    <t>250X</t>
  </si>
  <si>
    <t xml:space="preserve">A Judge Advocate General Corps Officer </t>
  </si>
  <si>
    <t>270X</t>
  </si>
  <si>
    <t>Active duty Nurse Corps, Medical Service Corps, Medical Corps, and Dental Corps officer in rank of O7</t>
  </si>
  <si>
    <t>Staff Corps Officer billet requiring Nursing specialty</t>
  </si>
  <si>
    <t>290X</t>
  </si>
  <si>
    <t>A Nurse Corps Officer</t>
  </si>
  <si>
    <t>Staff Corps Officer billet requiring Supply specialty</t>
  </si>
  <si>
    <t>310X</t>
  </si>
  <si>
    <t>A Supply Corps Officer</t>
  </si>
  <si>
    <t>COMNAVSUP-SYSCOM</t>
  </si>
  <si>
    <t>316X</t>
  </si>
  <si>
    <t xml:space="preserve">A direct commissioned Supply Corps Officer in training for qualification </t>
  </si>
  <si>
    <t>Staff Corps Officer billet requiring Chaplain specialty</t>
  </si>
  <si>
    <t>410X</t>
  </si>
  <si>
    <t>A Chaplain Corps Officer</t>
  </si>
  <si>
    <t>Staff Corps Officer billet requiring Civil Engineering specialty</t>
  </si>
  <si>
    <t>510X</t>
  </si>
  <si>
    <t>A Civil Engineer Corps Officer</t>
  </si>
  <si>
    <t>COMNAVFAC-SYSCOM</t>
  </si>
  <si>
    <t>k. Limited Duty Officer - Line (Surface)</t>
  </si>
  <si>
    <t>Billet which may be filled by any appropriately skilled and experienced Limited Duty Officer Line (CDR and above)</t>
  </si>
  <si>
    <t>Limited Duty Officer (Line) billet requiring management in Deck specialty (Surface)</t>
  </si>
  <si>
    <t>611X</t>
  </si>
  <si>
    <t>A Limited Duty Officer (Deck - Surface)</t>
  </si>
  <si>
    <t>Limited Duty Officer (Line) billet requiring management in Operations specialty (Surface)</t>
  </si>
  <si>
    <t>612X</t>
  </si>
  <si>
    <t>A Limited Duty Officer (Operations - Surface)</t>
  </si>
  <si>
    <t>Limited Duty Officer (Line) billet requiring management in Engineering/Repair specialty (Surface)</t>
  </si>
  <si>
    <t>613X</t>
  </si>
  <si>
    <t>A Limited Duty Officer (Engineering/Repair - Surface)</t>
  </si>
  <si>
    <t>Limited Duty Officer (Line) billet requiring management in Electronics specialty (Surface)</t>
  </si>
  <si>
    <t>618X</t>
  </si>
  <si>
    <t>A Limited Duty Officer (Electronics - Surface)</t>
  </si>
  <si>
    <t>ACNO (Surface Warfare)</t>
  </si>
  <si>
    <t xml:space="preserve">Limited Duty Officer (Line) billet requiring management in Nuclear Power specialty </t>
  </si>
  <si>
    <t>620X</t>
  </si>
  <si>
    <t>Limited Duty Officer (Line) billet requiring management in Engineering/Repair specialty (Submarine)</t>
  </si>
  <si>
    <t>623X</t>
  </si>
  <si>
    <t>A Limited Duty Officer (Engineering/Repair - Submarine)</t>
  </si>
  <si>
    <t>Limited Duty Officer (Line) billet requiring management in Ordnance specialty (Submarine)</t>
  </si>
  <si>
    <t>626X</t>
  </si>
  <si>
    <t>A Limited Duty Officer (Ordnance - Submarine)</t>
  </si>
  <si>
    <t>Limited Duty Officer (Line) billet requiring management in Electronics specialty (Submarine)</t>
  </si>
  <si>
    <t>628X</t>
  </si>
  <si>
    <t>A Limited Duty Officer (Electronics - Submarine)</t>
  </si>
  <si>
    <t>Limited Duty Officer (Line) billet requiring management in Communications specialty (Submarine)</t>
  </si>
  <si>
    <t>629X</t>
  </si>
  <si>
    <t>A Limited Duty Officer (Communications - Submarine)</t>
  </si>
  <si>
    <t>A Limited Duty Officer (Nuclear Power); Formerly DESIG 640X</t>
  </si>
  <si>
    <t>l. LIMITED DUTY OFFICER - LINE (SUBMARINE)</t>
  </si>
  <si>
    <t>m. LIMITED DUTY OFFICER -- LLINE (AVIATION)</t>
  </si>
  <si>
    <t>Limited Duty Officer (Line) billet requiring management in Aviation Deck specialty</t>
  </si>
  <si>
    <t>631X</t>
  </si>
  <si>
    <t>A Limited Duty Officer (Aviation Deck)</t>
  </si>
  <si>
    <t>Limited Duty Officer (Line) billet requiring management in Aviation Operations specialty</t>
  </si>
  <si>
    <t>632X</t>
  </si>
  <si>
    <t>A Limited Duty Officer (Aviation Operations)</t>
  </si>
  <si>
    <t>*6321</t>
  </si>
  <si>
    <t>Limited Duty Officer (Line) billet, Code 1 - Operational Flying, requiring the specialty of an Aviation Operations (ASW) officer who is aeronautically designated</t>
  </si>
  <si>
    <t>Limited Duty Officer (Line) billet requiring management in Aviation Maintenance specialty</t>
  </si>
  <si>
    <t>633X</t>
  </si>
  <si>
    <t>A Limited Duty Officer (Aviation Maintenance)</t>
  </si>
  <si>
    <t>Limited Duty Officer (Line) billet requiring management in Aviation Ordnance specialty</t>
  </si>
  <si>
    <t>636X</t>
  </si>
  <si>
    <t>A Limited Duty Officer (Aviation Ordnance)</t>
  </si>
  <si>
    <t>Limited Duty Officer (Line) billet requiring management in Air Traffic Control specialty</t>
  </si>
  <si>
    <t>639X</t>
  </si>
  <si>
    <t>A Limited Duty Officer (Air Traffic Control)</t>
  </si>
  <si>
    <t>n. LIMITED DUTY OFFICER-LINE (GENERAL)</t>
  </si>
  <si>
    <t>Limited Duty Officer (Line) billet requiring management in Administration specialty</t>
  </si>
  <si>
    <t>641X</t>
  </si>
  <si>
    <t>A Limited Duty Officer (Administration)</t>
  </si>
  <si>
    <t>Limited Duty Officer (Line) billet requiring Bandmaster specialty</t>
  </si>
  <si>
    <t>643X</t>
  </si>
  <si>
    <t>A Limited Duty Officer (Bandmaster)</t>
  </si>
  <si>
    <t>Limited Duty Officer (Line) billet requiring management in Explosive Ordnance Disposal specialty</t>
  </si>
  <si>
    <t>648X</t>
  </si>
  <si>
    <t>A Limited Duty Officer (Explosive Ordnance Disposal)</t>
  </si>
  <si>
    <t>Limited Duty Officer (Line) billet requiring management in Security specialty</t>
  </si>
  <si>
    <t>649X</t>
  </si>
  <si>
    <t>A Limited Duty Officer (Security)</t>
  </si>
  <si>
    <t>USFF N1SF</t>
  </si>
  <si>
    <t>ACNO (Surface Warfare); NOTE below applies</t>
  </si>
  <si>
    <t>CHNAVPERS (PERS-654)</t>
  </si>
  <si>
    <t>NOTE: ACNO (Undersea Warfare) is the Officer Community Manager (OCM) for those 641X designators with AQD SV1.</t>
  </si>
  <si>
    <t>o. LIMITED DUTY OFFICER-STAFF CORPS</t>
  </si>
  <si>
    <t>Staff Corps Limited Duty Officer billet requiring Supply specialty</t>
  </si>
  <si>
    <t>651X</t>
  </si>
  <si>
    <t>A Limited Duty Officer of the Supply Corps</t>
  </si>
  <si>
    <t>Staff Corps Limited Duty Officer billet requiring Civil Engineering specialty</t>
  </si>
  <si>
    <t>653X</t>
  </si>
  <si>
    <t>A Limited Duty Officer of the Civil Engineer Corps</t>
  </si>
  <si>
    <t>P. LIMITED DUTY OFFICER-LINE (INFORMATION WARFARE COMMUNITY)</t>
  </si>
  <si>
    <t>Limited Duty Officer (Line) billet requiring management in Meteorology/Oceanography specialty</t>
  </si>
  <si>
    <t>680X</t>
  </si>
  <si>
    <t>Limited Duty Officer (Line) billet requiring management in Cryptologic Warfare specialty</t>
  </si>
  <si>
    <t>681X</t>
  </si>
  <si>
    <t>Limited Duty Officer (Line) billet requiring management in Information Professional</t>
  </si>
  <si>
    <t>682X</t>
  </si>
  <si>
    <t>Limited Duty Officer (Line) billet requiring management in Intelligence specialty</t>
  </si>
  <si>
    <t>683X</t>
  </si>
  <si>
    <t>A Limited Duty Officer (Meteorology/Oceanography) Formerly DESIG 646X</t>
  </si>
  <si>
    <t>A Limited Duty Officer (Cryptologic Warfare) Formerly DESIG 644X</t>
  </si>
  <si>
    <t>A Limited Duty Officer (Information Professional) Formerly DESIG 642X</t>
  </si>
  <si>
    <t>A Limited Duty Officer (Intelligence) Formerly DESIG 645X</t>
  </si>
  <si>
    <t>NOTE: 68XX designators to be assigned to O3 and below requirements only.  LCDR and above billets are assigned the appropriate 18XX designator.</t>
  </si>
  <si>
    <t>q. CHIEF WARRANT OFFICER-LINE (SURFACE)</t>
  </si>
  <si>
    <t>Warrant Officer (Line) billet requiring supervision in Boatswain specialty (Surface)</t>
  </si>
  <si>
    <t>711X</t>
  </si>
  <si>
    <t>Boatswain (Surface)</t>
  </si>
  <si>
    <t>Warrant Officer (Line) billet requiring supervision in Operations Technician specialty (Surface)</t>
  </si>
  <si>
    <t>712X</t>
  </si>
  <si>
    <t>Operations Technician (Surface)</t>
  </si>
  <si>
    <t>Warrant Officer (Line) billet requiring supervision in Engineering specialty (Surface)</t>
  </si>
  <si>
    <t>713X</t>
  </si>
  <si>
    <t>Engineering Technician (Surface)</t>
  </si>
  <si>
    <t>Warrant Officer (Line) billet requiring supervision in Special Warfare Technician specialty</t>
  </si>
  <si>
    <t>715X</t>
  </si>
  <si>
    <t>Special Warfare Technician</t>
  </si>
  <si>
    <t>Warrant Officer (Line) billet requiring supervision in Naval Special Warfare Combat Crewman</t>
  </si>
  <si>
    <t>717X</t>
  </si>
  <si>
    <t>A Chief Warrant Officer with sophisticated, technical knowledge in all aspects of the Naval Special Warfare Combat Crewman</t>
  </si>
  <si>
    <t>Warrant Officer (Line) billet requiring supervision in Electronics Technician specialty</t>
  </si>
  <si>
    <t>718X</t>
  </si>
  <si>
    <t>Electronics Technician (Surface)</t>
  </si>
  <si>
    <t>r. CHIEF WARRANT OFFICER-LINE (SUBMARINE)</t>
  </si>
  <si>
    <t>Warrant Officer (Line) billet requiring specialty of a Diving Officer</t>
  </si>
  <si>
    <t>720X</t>
  </si>
  <si>
    <t>Diving Officer</t>
  </si>
  <si>
    <t>Warrant Officer (Line) billet requiring supervision in Ordnance Technician specialty (Submarine)</t>
  </si>
  <si>
    <t>726X</t>
  </si>
  <si>
    <t>Ordnance Technician (Submarine)</t>
  </si>
  <si>
    <t>Warrant Officer (Line) billet requiring specialty of an Acoustic Technician</t>
  </si>
  <si>
    <t>728X</t>
  </si>
  <si>
    <t>Acoustic Technician</t>
  </si>
  <si>
    <t>s. CHIEF WARRANT OFFICER-LINE (AVIATION)</t>
  </si>
  <si>
    <t>Warrant Officer (Line) billet requiring supervision in Aviation Boatswain specialty</t>
  </si>
  <si>
    <t>731X</t>
  </si>
  <si>
    <t>Aviation Boatswain</t>
  </si>
  <si>
    <t>Warrant Officer (Line) billet requiring supervision in Aviation Operations Technician specialty</t>
  </si>
  <si>
    <t>732X</t>
  </si>
  <si>
    <t>Aviation Operations Technician</t>
  </si>
  <si>
    <t>*7321</t>
  </si>
  <si>
    <t>Warrant Officer (Line) billet, Code 1 - Operational Flying, requiring the specialty of an Aviation Operations (ASW) Technician who is aeronautically designated</t>
  </si>
  <si>
    <t>Warrant Officer (Line) billet requiring supervision in Aviation Maintenance Technician specialty</t>
  </si>
  <si>
    <t>733X</t>
  </si>
  <si>
    <t>Aviation Maintenance Technician</t>
  </si>
  <si>
    <t>Warrant Officer (Line) billet requiring supervision in Aviation Ordnance Technician specialty</t>
  </si>
  <si>
    <t>736X</t>
  </si>
  <si>
    <t>Aviation Ordnance Technician</t>
  </si>
  <si>
    <t>Warrant Officer (Line) billet, Code 1 – Operational Flying, requiring the specialty of piloting Unmanned Aerial Vehicles who is aeronautically designated.</t>
  </si>
  <si>
    <t>737X</t>
  </si>
  <si>
    <t>Air Vehicle Pilot</t>
  </si>
  <si>
    <t>t. CHIEF WARRANT OFFICER-LINE (GENERAL)</t>
  </si>
  <si>
    <t>740X</t>
  </si>
  <si>
    <t>Nuclear Power Technician</t>
  </si>
  <si>
    <t>Warrant Officer (Line) billet requiring supervision in Ship's Clerk specialty</t>
  </si>
  <si>
    <t>741X</t>
  </si>
  <si>
    <t>Ship's Clerk</t>
  </si>
  <si>
    <t>Warrant Officer (Line) billet requiring supervision in Security Technician specialty</t>
  </si>
  <si>
    <t>749X</t>
  </si>
  <si>
    <t>Security Technician</t>
  </si>
  <si>
    <t>ACNO (Undersea Warfare); NOTE (4) below applies</t>
  </si>
  <si>
    <t>ACNO (Surface Warfare); NOTE (1) below applies</t>
  </si>
  <si>
    <t>u. CHIEF WARRANT OFFICER-STAFF CORPS</t>
  </si>
  <si>
    <t>*7520</t>
  </si>
  <si>
    <t>Warrant Officer (Staff Corps) billet requiring supervision in Food Service specialty</t>
  </si>
  <si>
    <t>752X</t>
  </si>
  <si>
    <t>Food Service Warrant</t>
  </si>
  <si>
    <t>Warrant Officer (Staff Corps) billet requiring supervision in Civil Engineering specialty</t>
  </si>
  <si>
    <t>753X</t>
  </si>
  <si>
    <t>Civil Engineering Warrant</t>
  </si>
  <si>
    <t>Warrant Officer (Staff Corps) billet requiring Technical Nurse specialty</t>
  </si>
  <si>
    <t>756X</t>
  </si>
  <si>
    <t>Technical Nurse</t>
  </si>
  <si>
    <t>BUMED-53</t>
  </si>
  <si>
    <t>*Authorized for active duty billets/personnel only.</t>
  </si>
  <si>
    <t>v. CHIEF WARRANT OFFICER-LINE (INFORMATION WARFARE COMMUNITY)</t>
  </si>
  <si>
    <t>Warrant Officer (Line) billet requiring supervision Oceanography</t>
  </si>
  <si>
    <t>780X</t>
  </si>
  <si>
    <t>Oceanography Warrant Officer</t>
  </si>
  <si>
    <t>Warrant Officer (Line) billet requiring supervision in Cryptologic Warfare Technician specialty</t>
  </si>
  <si>
    <t>781X</t>
  </si>
  <si>
    <t>Warrant Officer (Line) billet requiring supervision in Information Systems Technician specialty</t>
  </si>
  <si>
    <t>782X</t>
  </si>
  <si>
    <t>Warrant Officer (Line) billet requiring supervision in Intelligence Technician specialty</t>
  </si>
  <si>
    <t>783X</t>
  </si>
  <si>
    <t>Warrant Officer (Line) billet requiring supervision in Cyber Warfare specialty</t>
  </si>
  <si>
    <t>784X</t>
  </si>
  <si>
    <t>Cryptologic Warfare Technician Formerly DESIG 744X</t>
  </si>
  <si>
    <t>Information Systems Technician Formerly DESIG 742X</t>
  </si>
  <si>
    <t>Intelligence Technician Formerly DESIG 745X</t>
  </si>
  <si>
    <t>Cyber Warrant Officer Formerly DESIG 743X</t>
  </si>
  <si>
    <t>2. Translation of Fourth Digit of Officer Designator Code</t>
  </si>
  <si>
    <t>Fourth Digit</t>
  </si>
  <si>
    <t>Translation</t>
  </si>
  <si>
    <t>An officer of the Regular Navy whose permanent grade is Ensign or above</t>
  </si>
  <si>
    <t>An officer of the Regular Navy whose permanent status is Warrant Officer</t>
  </si>
  <si>
    <t>A temporary officer of the Regular Navy whose permanent status is enlisted</t>
  </si>
  <si>
    <t>An Officer of the Regular Navy who is on the retired list</t>
  </si>
  <si>
    <t>No longer used</t>
  </si>
  <si>
    <t>An officer of the Naval Reserve (exceptions:  Note 4th digit 7 and 8)</t>
  </si>
  <si>
    <t>An officer of the Naval Reserve on active duty in the TAR Program (Training and Administration of the Reserve) [Includes officers of the TAR Program rotated to other than TAR billets] (See NOTE)</t>
  </si>
  <si>
    <t>An officer of the Naval Reserve who was appointed in the Naval Reserve Integration Program from enlisted status or whose permanent status is Warrant Officer or enlisted</t>
  </si>
  <si>
    <t>An officer of the Naval Reserve who is on the retired list</t>
  </si>
  <si>
    <t>NOTE: CNO (NO95) is the XXX7 Officer Community Manager (OCM).</t>
  </si>
  <si>
    <t xml:space="preserve">NOTES: (1) ACNO (Undersea Warfare) is the Officer Community Manager (OCM) for those 741X designators with AQD SV1.
              (2) The 740X designator was approved for deletion on 9 may 13.  The FY-14 LDO-CWO in service procurement board will be the final board which accesses nuclear CWOs.  Nuclear CWOs may continue their service by converting to nuclear LDO (640X) or continue their service as warrant officers and compete for promotions through CWO5.  All billets will be recoded to 640X and 740X will not be deleted until the inventory naturally attrites.  NAVADMIN 124/13 refers.
</t>
  </si>
  <si>
    <t>Warrant Officer (Line) billet requiring supervision in Nuclear Power Technician specialty. NOTE (2) below applies</t>
  </si>
  <si>
    <t>Information Warfare Line Officer - Oceanography</t>
  </si>
  <si>
    <t>Information Warfare Line Officer billet Code 2 - Operational Flying, requiring Meteorology specialty of a Geophysicist who is a designated Pilot or Naval Flight Officer</t>
  </si>
  <si>
    <t>Information Warfare Line Officer – Cryptologic Warfare Officer</t>
  </si>
  <si>
    <t>Information Warfare Line Officer – Information Professional Officer</t>
  </si>
  <si>
    <t>Information Warfare Line Officer – Intelligence Officer</t>
  </si>
  <si>
    <t>Information Warfare Line Officer– Intelligence Officer</t>
  </si>
  <si>
    <t>Information Warfare Line Officer – Cyber Warfare Engineer</t>
  </si>
  <si>
    <t>Information Warfare Line Officer– Cyber Warfare Engineer</t>
  </si>
  <si>
    <t>Information Warfare Line Officer – IWC Flag Officer</t>
  </si>
  <si>
    <t>Information Warfare Line Officer  – Maritime Space Officer
Warfare –qualified URL/RL officers at O3, O4, O5 and O6 level
Reserve Grades URL/RL O2 to O6</t>
  </si>
  <si>
    <t>Information Warfare Line Officer  - Maritime Space Officer
Reserve Grades URL/RL O2 to O6</t>
  </si>
  <si>
    <t>Information Warfare Line Officer -Maritime Cyber Warfare Officer (O1 to O6)</t>
  </si>
  <si>
    <t>DCNO (Manpower), BUPERS 311-HR</t>
  </si>
  <si>
    <t>BUPERS-315</t>
  </si>
  <si>
    <t>BUPERS-311-METOC</t>
  </si>
  <si>
    <t>BUPERS-311-CW</t>
  </si>
  <si>
    <t>BUPERS-311-IP</t>
  </si>
  <si>
    <t>BUPERS-311-INT</t>
  </si>
  <si>
    <t>BUPERS-311-CYBER</t>
  </si>
  <si>
    <t>BUPERS-311</t>
  </si>
  <si>
    <t>BUPERS-311-MSO</t>
  </si>
  <si>
    <t>BUPERS-311-LDO</t>
  </si>
  <si>
    <t>BUPERS-311-CWO</t>
  </si>
  <si>
    <t>Billet Code (no asterisk)</t>
  </si>
  <si>
    <t>Billet Description</t>
  </si>
  <si>
    <t>Text for Navy Decoder's  OfficerBilletCodes.java file</t>
  </si>
  <si>
    <t>Text for Navy Decoder Plus's fill_table_officer_billet_codes.sql file</t>
  </si>
  <si>
    <t>Engineering Duty Officer billet requiring specialists in Ship Engineering, including Ship and Ship Systems Engineering, Electronic Systems Engineering, Combat/Weapons Systems Engineering, and Ordnance Systems Engineering.</t>
  </si>
  <si>
    <t>Officer Description</t>
  </si>
  <si>
    <t>Text for Navy Decoder's  OfficerDesignatorCodes.java file</t>
  </si>
  <si>
    <t>Text for Navy Decoder Plus's fill_table_officer_designator_codes.sql file</t>
  </si>
  <si>
    <t>Aerospace Engineering Duty Officer billet requiring Aerospace Engineering (AED) specialty.</t>
  </si>
  <si>
    <t>Aerospace Engineering Duty Officer billet, Code 1 - Operational Flying, requiring the specialty of an Aerospace Engineering Duty (AED) officer who is a designated Pilot or Naval Flight Officer.</t>
  </si>
  <si>
    <t>Aerospace Engineering Duty Officer billet, Code 2 - Operational Flying, requiring the specialty of an Aerospace Engineering Duty (AED) Officer who is a designated Pilot or Naval Flight Officer.</t>
  </si>
  <si>
    <t>Information Warfare Line Officer  – Maritime Space Officer / Warfare –qualified URL/RL officers at O3, O4, O5 and O6 level / Reserve Grades URL/RL O2 to O6</t>
  </si>
  <si>
    <t>Information Warfare Line Officer  - Maritime Space Officer / Reserve Grades URL/RL O2 to O6</t>
  </si>
  <si>
    <t>Warrant Officer (Line) billet requiring supervision in Nuclear Power Technician specialty.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</si>
</sst>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Times New Roman"/>
      <family val="1"/>
    </font>
    <font>
      <u/>
      <sz val="10"/>
      <color theme="1"/>
      <name val="Times New Roman"/>
      <family val="1"/>
    </font>
    <font>
      <b/>
      <sz val="10"/>
      <color theme="1"/>
      <name val="Times New Roman"/>
      <family val="1"/>
    </font>
    <font>
      <sz val="9.5"/>
      <color theme="1"/>
      <name val="Times New Roman"/>
      <family val="1"/>
    </font>
    <font>
      <b/>
      <sz val="10"/>
      <color theme="1"/>
      <name val="Arial"/>
      <family val="2"/>
    </font>
    <font>
      <sz val="10"/>
      <color theme="1"/>
      <name val="Arial"/>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4" xfId="0" applyFont="1" applyBorder="1" applyAlignment="1">
      <alignment horizontal="left" vertical="center" wrapText="1"/>
    </xf>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1" fillId="0" borderId="0" xfId="0" applyFont="1" applyAlignment="1">
      <alignment horizontal="left" vertical="center"/>
    </xf>
    <xf numFmtId="0" fontId="2" fillId="0" borderId="0" xfId="0" applyFont="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4" xfId="0" applyBorder="1" applyAlignment="1">
      <alignment horizontal="left" vertical="top" wrapText="1"/>
    </xf>
    <xf numFmtId="0" fontId="1" fillId="0" borderId="0" xfId="0" applyFont="1" applyAlignment="1">
      <alignment horizontal="left" vertical="center" wrapText="1"/>
    </xf>
    <xf numFmtId="0" fontId="1" fillId="0" borderId="1" xfId="0" applyFont="1" applyBorder="1" applyAlignment="1">
      <alignment horizontal="left" vertical="center"/>
    </xf>
    <xf numFmtId="0" fontId="1" fillId="0" borderId="0" xfId="0" applyFont="1"/>
    <xf numFmtId="0" fontId="0" fillId="0" borderId="0" xfId="0" applyAlignment="1">
      <alignment horizontal="left" wrapText="1"/>
    </xf>
    <xf numFmtId="0" fontId="5" fillId="0" borderId="7" xfId="0" applyFont="1" applyBorder="1" applyAlignment="1">
      <alignment horizontal="center" vertical="top" wrapText="1"/>
    </xf>
    <xf numFmtId="0" fontId="5" fillId="0" borderId="7" xfId="0" applyFont="1" applyBorder="1" applyAlignment="1">
      <alignment horizontal="left" vertical="top" wrapText="1"/>
    </xf>
    <xf numFmtId="0" fontId="0" fillId="0" borderId="0" xfId="0" applyAlignment="1">
      <alignment horizontal="left" vertical="top"/>
    </xf>
    <xf numFmtId="0" fontId="6" fillId="0" borderId="7"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1" fillId="0" borderId="7" xfId="0" applyFont="1" applyBorder="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139700</xdr:rowOff>
    </xdr:from>
    <xdr:to>
      <xdr:col>10</xdr:col>
      <xdr:colOff>342900</xdr:colOff>
      <xdr:row>20</xdr:row>
      <xdr:rowOff>165100</xdr:rowOff>
    </xdr:to>
    <xdr:sp macro="" textlink="">
      <xdr:nvSpPr>
        <xdr:cNvPr id="2" name="TextBox 1">
          <a:extLst>
            <a:ext uri="{FF2B5EF4-FFF2-40B4-BE49-F238E27FC236}">
              <a16:creationId xmlns:a16="http://schemas.microsoft.com/office/drawing/2014/main" id="{E0A4DE67-ACAF-C24F-9F28-0B03265C3770}"/>
            </a:ext>
          </a:extLst>
        </xdr:cNvPr>
        <xdr:cNvSpPr txBox="1"/>
      </xdr:nvSpPr>
      <xdr:spPr>
        <a:xfrm>
          <a:off x="495300" y="330200"/>
          <a:ext cx="8102600" cy="364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Downloaded on 03APR2026 from https://www.mynavyhr.navy.mil/References/NOOCS-Manual/NOOCS-VOL-1/</a:t>
          </a:r>
        </a:p>
        <a:p>
          <a:endParaRPr lang="en-US" sz="1100"/>
        </a:p>
        <a:p>
          <a:r>
            <a:rPr lang="en-US"/>
            <a:t>VOLUME I, CHANGE 94</a:t>
          </a:r>
          <a:endParaRPr lang="en-US" sz="110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DEBE-09BA-5A44-A5D3-BE63454BB1D7}">
  <dimension ref="A1"/>
  <sheetViews>
    <sheetView workbookViewId="0">
      <selection activeCell="H43" sqref="H43"/>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8"/>
  <sheetViews>
    <sheetView workbookViewId="0">
      <selection activeCell="C5" sqref="C5:C298"/>
    </sheetView>
  </sheetViews>
  <sheetFormatPr baseColWidth="10" defaultColWidth="9.1640625" defaultRowHeight="15" x14ac:dyDescent="0.2"/>
  <cols>
    <col min="1" max="1" width="74.6640625" style="4" customWidth="1"/>
    <col min="2" max="2" width="97.5" style="4" customWidth="1"/>
    <col min="3" max="3" width="9.1640625" style="4"/>
    <col min="4" max="4" width="93" style="4" customWidth="1"/>
    <col min="5" max="5" width="59.83203125" style="4" customWidth="1"/>
    <col min="6" max="16384" width="9.1640625" style="4"/>
  </cols>
  <sheetData>
    <row r="1" spans="1:5" x14ac:dyDescent="0.2">
      <c r="A1" s="2" t="s">
        <v>1</v>
      </c>
      <c r="B1" s="3"/>
    </row>
    <row r="2" spans="1:5" ht="16" thickBot="1" x14ac:dyDescent="0.25">
      <c r="A2" s="5" t="s">
        <v>0</v>
      </c>
      <c r="B2" s="6"/>
    </row>
    <row r="3" spans="1:5" ht="24.75" customHeight="1" x14ac:dyDescent="0.2">
      <c r="A3" s="26" t="s">
        <v>2</v>
      </c>
      <c r="B3" s="7" t="s">
        <v>3</v>
      </c>
      <c r="C3" s="26" t="s">
        <v>5</v>
      </c>
      <c r="D3" s="7" t="s">
        <v>6</v>
      </c>
      <c r="E3" s="26" t="s">
        <v>7</v>
      </c>
    </row>
    <row r="4" spans="1:5" ht="16" thickBot="1" x14ac:dyDescent="0.25">
      <c r="A4" s="27"/>
      <c r="B4" s="8" t="s">
        <v>4</v>
      </c>
      <c r="C4" s="27"/>
      <c r="D4" s="8" t="s">
        <v>4</v>
      </c>
      <c r="E4" s="27"/>
    </row>
    <row r="5" spans="1:5" x14ac:dyDescent="0.2">
      <c r="A5" s="9">
        <v>1000</v>
      </c>
      <c r="B5" s="10" t="s">
        <v>8</v>
      </c>
      <c r="C5" s="10" t="s">
        <v>9</v>
      </c>
      <c r="D5" s="10" t="s">
        <v>9</v>
      </c>
      <c r="E5" s="10" t="s">
        <v>40</v>
      </c>
    </row>
    <row r="6" spans="1:5" ht="16" thickBot="1" x14ac:dyDescent="0.25">
      <c r="A6" s="11">
        <v>1020</v>
      </c>
      <c r="B6" s="1" t="s">
        <v>10</v>
      </c>
      <c r="C6" s="1" t="s">
        <v>9</v>
      </c>
      <c r="D6" s="1" t="s">
        <v>9</v>
      </c>
      <c r="E6" s="1" t="s">
        <v>11</v>
      </c>
    </row>
    <row r="7" spans="1:5" ht="19.5" customHeight="1" x14ac:dyDescent="0.2">
      <c r="A7" s="9">
        <v>1050</v>
      </c>
      <c r="B7" s="10" t="s">
        <v>12</v>
      </c>
      <c r="C7" s="10" t="s">
        <v>9</v>
      </c>
      <c r="D7" s="10" t="s">
        <v>9</v>
      </c>
      <c r="E7" s="10" t="s">
        <v>40</v>
      </c>
    </row>
    <row r="8" spans="1:5" ht="22.5" customHeight="1" x14ac:dyDescent="0.2">
      <c r="A8" s="9">
        <v>1100</v>
      </c>
      <c r="B8" s="10" t="s">
        <v>13</v>
      </c>
      <c r="C8" s="10" t="s">
        <v>14</v>
      </c>
      <c r="D8" s="10" t="s">
        <v>15</v>
      </c>
      <c r="E8" s="10" t="s">
        <v>40</v>
      </c>
    </row>
    <row r="9" spans="1:5" ht="27" customHeight="1" x14ac:dyDescent="0.2">
      <c r="A9" s="9">
        <v>1110</v>
      </c>
      <c r="B9" s="10" t="s">
        <v>16</v>
      </c>
      <c r="C9" s="10" t="s">
        <v>17</v>
      </c>
      <c r="D9" s="10" t="s">
        <v>18</v>
      </c>
      <c r="E9" s="10" t="s">
        <v>41</v>
      </c>
    </row>
    <row r="10" spans="1:5" ht="21" customHeight="1" x14ac:dyDescent="0.2">
      <c r="A10" s="9">
        <v>1120</v>
      </c>
      <c r="B10" s="10" t="s">
        <v>19</v>
      </c>
      <c r="C10" s="10" t="s">
        <v>20</v>
      </c>
      <c r="D10" s="10" t="s">
        <v>21</v>
      </c>
      <c r="E10" s="10" t="s">
        <v>42</v>
      </c>
    </row>
    <row r="11" spans="1:5" ht="23.25" customHeight="1" x14ac:dyDescent="0.2">
      <c r="A11" s="9">
        <v>1130</v>
      </c>
      <c r="B11" s="10" t="s">
        <v>22</v>
      </c>
      <c r="C11" s="10" t="s">
        <v>23</v>
      </c>
      <c r="D11" s="10" t="s">
        <v>24</v>
      </c>
      <c r="E11" s="10" t="s">
        <v>43</v>
      </c>
    </row>
    <row r="12" spans="1:5" x14ac:dyDescent="0.2">
      <c r="A12" s="9">
        <v>1140</v>
      </c>
      <c r="B12" s="10" t="s">
        <v>25</v>
      </c>
      <c r="C12" s="10" t="s">
        <v>26</v>
      </c>
      <c r="D12" s="10" t="s">
        <v>27</v>
      </c>
      <c r="E12" s="10" t="s">
        <v>43</v>
      </c>
    </row>
    <row r="13" spans="1:5" ht="25.5" customHeight="1" x14ac:dyDescent="0.2">
      <c r="A13" s="9">
        <v>1160</v>
      </c>
      <c r="B13" s="10" t="s">
        <v>28</v>
      </c>
      <c r="C13" s="10" t="s">
        <v>29</v>
      </c>
      <c r="D13" s="10" t="s">
        <v>30</v>
      </c>
      <c r="E13" s="10" t="s">
        <v>41</v>
      </c>
    </row>
    <row r="14" spans="1:5" ht="18" customHeight="1" x14ac:dyDescent="0.2">
      <c r="A14" s="9">
        <v>1170</v>
      </c>
      <c r="B14" s="10" t="s">
        <v>31</v>
      </c>
      <c r="C14" s="10" t="s">
        <v>32</v>
      </c>
      <c r="D14" s="10" t="s">
        <v>33</v>
      </c>
      <c r="E14" s="10" t="s">
        <v>42</v>
      </c>
    </row>
    <row r="15" spans="1:5" ht="23.25" customHeight="1" x14ac:dyDescent="0.2">
      <c r="A15" s="9">
        <v>1180</v>
      </c>
      <c r="B15" s="10" t="s">
        <v>34</v>
      </c>
      <c r="C15" s="10" t="s">
        <v>35</v>
      </c>
      <c r="D15" s="10" t="s">
        <v>36</v>
      </c>
      <c r="E15" s="10" t="s">
        <v>44</v>
      </c>
    </row>
    <row r="16" spans="1:5" ht="31.5" customHeight="1" x14ac:dyDescent="0.2">
      <c r="A16" s="9">
        <v>1190</v>
      </c>
      <c r="B16" s="10" t="s">
        <v>37</v>
      </c>
      <c r="C16" s="10" t="s">
        <v>38</v>
      </c>
      <c r="D16" s="10" t="s">
        <v>39</v>
      </c>
      <c r="E16" s="10" t="s">
        <v>44</v>
      </c>
    </row>
    <row r="17" spans="1:5" ht="31.5" customHeight="1" x14ac:dyDescent="0.2">
      <c r="A17" s="14"/>
      <c r="B17" s="14"/>
      <c r="C17" s="14"/>
      <c r="D17" s="14"/>
      <c r="E17" s="14"/>
    </row>
    <row r="18" spans="1:5" x14ac:dyDescent="0.2">
      <c r="A18" s="2" t="s">
        <v>57</v>
      </c>
      <c r="B18" s="3"/>
    </row>
    <row r="19" spans="1:5" ht="28" x14ac:dyDescent="0.2">
      <c r="A19" s="9">
        <v>1200</v>
      </c>
      <c r="B19" s="10" t="s">
        <v>45</v>
      </c>
      <c r="C19" s="10" t="s">
        <v>46</v>
      </c>
      <c r="D19" s="10" t="s">
        <v>56</v>
      </c>
      <c r="E19" s="10" t="s">
        <v>40</v>
      </c>
    </row>
    <row r="20" spans="1:5" ht="28" x14ac:dyDescent="0.2">
      <c r="A20" s="9">
        <v>1210</v>
      </c>
      <c r="B20" s="10" t="s">
        <v>47</v>
      </c>
      <c r="C20" s="10" t="s">
        <v>48</v>
      </c>
      <c r="D20" s="10" t="s">
        <v>49</v>
      </c>
      <c r="E20" s="10" t="s">
        <v>50</v>
      </c>
    </row>
    <row r="21" spans="1:5" x14ac:dyDescent="0.2">
      <c r="A21" s="9">
        <v>1230</v>
      </c>
      <c r="B21" s="10" t="s">
        <v>51</v>
      </c>
      <c r="C21" s="10">
        <v>1230</v>
      </c>
      <c r="D21" s="10" t="s">
        <v>52</v>
      </c>
      <c r="E21" s="10" t="s">
        <v>424</v>
      </c>
    </row>
    <row r="22" spans="1:5" ht="16" thickBot="1" x14ac:dyDescent="0.25">
      <c r="A22" s="11">
        <v>1280</v>
      </c>
      <c r="B22" s="1" t="s">
        <v>53</v>
      </c>
      <c r="C22" s="1" t="s">
        <v>54</v>
      </c>
      <c r="D22" s="1" t="s">
        <v>55</v>
      </c>
      <c r="E22" s="1" t="s">
        <v>425</v>
      </c>
    </row>
    <row r="23" spans="1:5" x14ac:dyDescent="0.2">
      <c r="A23" s="14"/>
      <c r="B23" s="14"/>
      <c r="C23" s="14"/>
      <c r="D23" s="14"/>
      <c r="E23" s="14"/>
    </row>
    <row r="24" spans="1:5" x14ac:dyDescent="0.2">
      <c r="A24" s="2" t="s">
        <v>58</v>
      </c>
    </row>
    <row r="25" spans="1:5" ht="28" x14ac:dyDescent="0.2">
      <c r="A25" s="9" t="s">
        <v>59</v>
      </c>
      <c r="B25" s="10" t="s">
        <v>60</v>
      </c>
      <c r="C25" s="10" t="s">
        <v>61</v>
      </c>
      <c r="D25" s="10" t="s">
        <v>62</v>
      </c>
      <c r="E25" s="10" t="s">
        <v>92</v>
      </c>
    </row>
    <row r="26" spans="1:5" x14ac:dyDescent="0.2">
      <c r="A26" s="9" t="s">
        <v>63</v>
      </c>
      <c r="B26" s="10" t="s">
        <v>64</v>
      </c>
      <c r="C26" s="10" t="s">
        <v>9</v>
      </c>
      <c r="D26" s="10" t="s">
        <v>9</v>
      </c>
      <c r="E26" s="10" t="s">
        <v>93</v>
      </c>
    </row>
    <row r="27" spans="1:5" x14ac:dyDescent="0.2">
      <c r="A27" s="9" t="s">
        <v>65</v>
      </c>
      <c r="B27" s="10" t="s">
        <v>66</v>
      </c>
      <c r="C27" s="10" t="s">
        <v>9</v>
      </c>
      <c r="D27" s="10" t="s">
        <v>9</v>
      </c>
      <c r="E27" s="10" t="s">
        <v>93</v>
      </c>
    </row>
    <row r="28" spans="1:5" ht="28" x14ac:dyDescent="0.2">
      <c r="A28" s="9" t="s">
        <v>67</v>
      </c>
      <c r="B28" s="10" t="s">
        <v>68</v>
      </c>
      <c r="C28" s="10" t="s">
        <v>69</v>
      </c>
      <c r="D28" s="10" t="s">
        <v>70</v>
      </c>
      <c r="E28" s="10" t="s">
        <v>93</v>
      </c>
    </row>
    <row r="29" spans="1:5" x14ac:dyDescent="0.2">
      <c r="A29" s="9" t="s">
        <v>71</v>
      </c>
      <c r="B29" s="10" t="s">
        <v>72</v>
      </c>
      <c r="C29" s="10" t="s">
        <v>73</v>
      </c>
      <c r="D29" s="10" t="s">
        <v>9</v>
      </c>
      <c r="E29" s="10" t="s">
        <v>93</v>
      </c>
    </row>
    <row r="30" spans="1:5" x14ac:dyDescent="0.2">
      <c r="A30" s="9" t="s">
        <v>74</v>
      </c>
      <c r="B30" s="10" t="s">
        <v>75</v>
      </c>
      <c r="C30" s="10" t="s">
        <v>73</v>
      </c>
      <c r="D30" s="10" t="s">
        <v>9</v>
      </c>
      <c r="E30" s="10" t="s">
        <v>93</v>
      </c>
    </row>
    <row r="31" spans="1:5" ht="28" x14ac:dyDescent="0.2">
      <c r="A31" s="9" t="s">
        <v>76</v>
      </c>
      <c r="B31" s="10" t="s">
        <v>77</v>
      </c>
      <c r="C31" s="10" t="s">
        <v>78</v>
      </c>
      <c r="D31" s="10" t="s">
        <v>79</v>
      </c>
      <c r="E31" s="10" t="s">
        <v>93</v>
      </c>
    </row>
    <row r="32" spans="1:5" x14ac:dyDescent="0.2">
      <c r="A32" s="9" t="s">
        <v>80</v>
      </c>
      <c r="B32" s="10" t="s">
        <v>81</v>
      </c>
      <c r="C32" s="10" t="s">
        <v>9</v>
      </c>
      <c r="D32" s="10" t="s">
        <v>9</v>
      </c>
      <c r="E32" s="10" t="s">
        <v>93</v>
      </c>
    </row>
    <row r="33" spans="1:5" x14ac:dyDescent="0.2">
      <c r="A33" s="9" t="s">
        <v>82</v>
      </c>
      <c r="B33" s="10" t="s">
        <v>83</v>
      </c>
      <c r="C33" s="10" t="s">
        <v>9</v>
      </c>
      <c r="D33" s="10" t="s">
        <v>9</v>
      </c>
      <c r="E33" s="10" t="s">
        <v>93</v>
      </c>
    </row>
    <row r="34" spans="1:5" x14ac:dyDescent="0.2">
      <c r="A34" s="9" t="s">
        <v>84</v>
      </c>
      <c r="B34" s="10" t="s">
        <v>85</v>
      </c>
      <c r="C34" s="10" t="s">
        <v>86</v>
      </c>
      <c r="D34" s="10" t="s">
        <v>87</v>
      </c>
      <c r="E34" s="10" t="s">
        <v>93</v>
      </c>
    </row>
    <row r="35" spans="1:5" x14ac:dyDescent="0.2">
      <c r="A35" s="9" t="s">
        <v>88</v>
      </c>
      <c r="B35" s="10" t="s">
        <v>89</v>
      </c>
      <c r="C35" s="10" t="s">
        <v>90</v>
      </c>
      <c r="D35" s="10" t="s">
        <v>91</v>
      </c>
      <c r="E35" s="10" t="s">
        <v>93</v>
      </c>
    </row>
    <row r="36" spans="1:5" x14ac:dyDescent="0.2">
      <c r="A36" s="2" t="s">
        <v>94</v>
      </c>
    </row>
    <row r="37" spans="1:5" x14ac:dyDescent="0.2">
      <c r="A37" s="2"/>
    </row>
    <row r="38" spans="1:5" x14ac:dyDescent="0.2">
      <c r="A38" s="2" t="s">
        <v>95</v>
      </c>
      <c r="B38" s="3"/>
    </row>
    <row r="39" spans="1:5" ht="42" x14ac:dyDescent="0.2">
      <c r="A39" s="9">
        <v>1440</v>
      </c>
      <c r="B39" s="10" t="s">
        <v>103</v>
      </c>
      <c r="C39" s="10" t="s">
        <v>96</v>
      </c>
      <c r="D39" s="10" t="s">
        <v>97</v>
      </c>
      <c r="E39" s="10" t="s">
        <v>102</v>
      </c>
    </row>
    <row r="40" spans="1:5" x14ac:dyDescent="0.2">
      <c r="A40" s="9">
        <v>1460</v>
      </c>
      <c r="B40" s="10" t="s">
        <v>98</v>
      </c>
      <c r="C40" s="10" t="s">
        <v>99</v>
      </c>
      <c r="D40" s="10" t="s">
        <v>100</v>
      </c>
      <c r="E40" s="10" t="s">
        <v>102</v>
      </c>
    </row>
    <row r="41" spans="1:5" x14ac:dyDescent="0.2">
      <c r="A41" s="2" t="s">
        <v>101</v>
      </c>
    </row>
    <row r="42" spans="1:5" x14ac:dyDescent="0.2">
      <c r="A42" s="2"/>
    </row>
    <row r="43" spans="1:5" x14ac:dyDescent="0.2">
      <c r="A43" s="2" t="s">
        <v>104</v>
      </c>
    </row>
    <row r="44" spans="1:5" ht="29" thickBot="1" x14ac:dyDescent="0.25">
      <c r="A44" s="11">
        <v>1500</v>
      </c>
      <c r="B44" s="1" t="s">
        <v>105</v>
      </c>
      <c r="C44" s="1" t="s">
        <v>106</v>
      </c>
      <c r="D44" s="1" t="s">
        <v>107</v>
      </c>
      <c r="E44" s="1" t="s">
        <v>108</v>
      </c>
    </row>
    <row r="45" spans="1:5" x14ac:dyDescent="0.2">
      <c r="A45" s="9">
        <v>1510</v>
      </c>
      <c r="B45" s="10" t="s">
        <v>121</v>
      </c>
      <c r="C45" s="10" t="s">
        <v>109</v>
      </c>
      <c r="D45" s="10" t="s">
        <v>110</v>
      </c>
      <c r="E45" s="10" t="s">
        <v>108</v>
      </c>
    </row>
    <row r="46" spans="1:5" ht="28" x14ac:dyDescent="0.2">
      <c r="A46" s="9" t="s">
        <v>111</v>
      </c>
      <c r="B46" s="10" t="s">
        <v>122</v>
      </c>
      <c r="C46" s="10" t="s">
        <v>9</v>
      </c>
      <c r="D46" s="10" t="s">
        <v>9</v>
      </c>
      <c r="E46" s="10" t="s">
        <v>108</v>
      </c>
    </row>
    <row r="47" spans="1:5" ht="28" x14ac:dyDescent="0.2">
      <c r="A47" s="9" t="s">
        <v>112</v>
      </c>
      <c r="B47" s="10" t="s">
        <v>123</v>
      </c>
      <c r="C47" s="10" t="s">
        <v>9</v>
      </c>
      <c r="D47" s="10" t="s">
        <v>9</v>
      </c>
      <c r="E47" s="10" t="s">
        <v>108</v>
      </c>
    </row>
    <row r="48" spans="1:5" x14ac:dyDescent="0.2">
      <c r="A48" s="9" t="s">
        <v>113</v>
      </c>
      <c r="B48" s="10" t="s">
        <v>114</v>
      </c>
      <c r="C48" s="10" t="s">
        <v>115</v>
      </c>
      <c r="D48" s="10" t="s">
        <v>116</v>
      </c>
      <c r="E48" s="10" t="s">
        <v>93</v>
      </c>
    </row>
    <row r="49" spans="1:5" x14ac:dyDescent="0.2">
      <c r="A49" s="9" t="s">
        <v>117</v>
      </c>
      <c r="B49" s="10" t="s">
        <v>118</v>
      </c>
      <c r="C49" s="10" t="s">
        <v>9</v>
      </c>
      <c r="D49" s="10" t="s">
        <v>9</v>
      </c>
      <c r="E49" s="10" t="s">
        <v>93</v>
      </c>
    </row>
    <row r="50" spans="1:5" x14ac:dyDescent="0.2">
      <c r="A50" s="9" t="s">
        <v>119</v>
      </c>
      <c r="B50" s="10" t="s">
        <v>120</v>
      </c>
      <c r="C50" s="10" t="s">
        <v>9</v>
      </c>
      <c r="D50" s="10" t="s">
        <v>9</v>
      </c>
      <c r="E50" s="10" t="s">
        <v>93</v>
      </c>
    </row>
    <row r="51" spans="1:5" x14ac:dyDescent="0.2">
      <c r="A51" s="2" t="s">
        <v>124</v>
      </c>
    </row>
    <row r="52" spans="1:5" x14ac:dyDescent="0.2">
      <c r="A52" s="2" t="s">
        <v>94</v>
      </c>
    </row>
    <row r="53" spans="1:5" x14ac:dyDescent="0.2">
      <c r="A53" s="2"/>
    </row>
    <row r="54" spans="1:5" x14ac:dyDescent="0.2">
      <c r="A54" s="2" t="s">
        <v>125</v>
      </c>
    </row>
    <row r="55" spans="1:5" ht="16" thickBot="1" x14ac:dyDescent="0.25">
      <c r="A55" s="11">
        <v>1650</v>
      </c>
      <c r="B55" s="1" t="s">
        <v>126</v>
      </c>
      <c r="C55" s="1" t="s">
        <v>127</v>
      </c>
      <c r="D55" s="1" t="s">
        <v>128</v>
      </c>
      <c r="E55" s="1" t="s">
        <v>129</v>
      </c>
    </row>
    <row r="56" spans="1:5" ht="16" thickBot="1" x14ac:dyDescent="0.25">
      <c r="A56" s="11">
        <v>1660</v>
      </c>
      <c r="B56" s="1" t="s">
        <v>130</v>
      </c>
      <c r="C56" s="1" t="s">
        <v>131</v>
      </c>
      <c r="D56" s="1" t="s">
        <v>132</v>
      </c>
      <c r="E56" s="1" t="s">
        <v>133</v>
      </c>
    </row>
    <row r="57" spans="1:5" ht="16" thickBot="1" x14ac:dyDescent="0.25">
      <c r="A57" s="11" t="s">
        <v>9</v>
      </c>
      <c r="B57" s="1" t="s">
        <v>9</v>
      </c>
      <c r="C57" s="1" t="s">
        <v>134</v>
      </c>
      <c r="D57" s="1" t="s">
        <v>135</v>
      </c>
      <c r="E57" s="1" t="s">
        <v>136</v>
      </c>
    </row>
    <row r="59" spans="1:5" x14ac:dyDescent="0.2">
      <c r="A59" s="4" t="s">
        <v>137</v>
      </c>
    </row>
    <row r="60" spans="1:5" ht="16" thickBot="1" x14ac:dyDescent="0.25">
      <c r="A60" s="11">
        <v>1710</v>
      </c>
      <c r="B60" s="1" t="s">
        <v>138</v>
      </c>
      <c r="C60" s="1" t="s">
        <v>139</v>
      </c>
      <c r="D60" s="1" t="s">
        <v>140</v>
      </c>
      <c r="E60" s="1" t="s">
        <v>141</v>
      </c>
    </row>
    <row r="61" spans="1:5" ht="29" thickBot="1" x14ac:dyDescent="0.25">
      <c r="A61" s="11">
        <v>1712</v>
      </c>
      <c r="B61" s="1" t="s">
        <v>142</v>
      </c>
      <c r="C61" s="1" t="s">
        <v>9</v>
      </c>
      <c r="D61" s="1" t="s">
        <v>9</v>
      </c>
      <c r="E61" s="1" t="s">
        <v>141</v>
      </c>
    </row>
    <row r="63" spans="1:5" x14ac:dyDescent="0.2">
      <c r="A63" s="4" t="s">
        <v>143</v>
      </c>
    </row>
    <row r="64" spans="1:5" ht="16" thickBot="1" x14ac:dyDescent="0.25">
      <c r="A64" s="11">
        <v>1800</v>
      </c>
      <c r="B64" s="1" t="s">
        <v>412</v>
      </c>
      <c r="C64" s="1" t="s">
        <v>144</v>
      </c>
      <c r="D64" s="1" t="s">
        <v>412</v>
      </c>
      <c r="E64" s="1" t="s">
        <v>426</v>
      </c>
    </row>
    <row r="65" spans="1:5" ht="29" thickBot="1" x14ac:dyDescent="0.25">
      <c r="A65" s="11" t="s">
        <v>145</v>
      </c>
      <c r="B65" s="1" t="s">
        <v>413</v>
      </c>
      <c r="C65" s="1" t="s">
        <v>9</v>
      </c>
      <c r="D65" s="1" t="s">
        <v>9</v>
      </c>
      <c r="E65" s="1" t="s">
        <v>146</v>
      </c>
    </row>
    <row r="66" spans="1:5" x14ac:dyDescent="0.2">
      <c r="A66" s="9">
        <v>1810</v>
      </c>
      <c r="B66" s="10" t="s">
        <v>414</v>
      </c>
      <c r="C66" s="10" t="s">
        <v>147</v>
      </c>
      <c r="D66" s="10" t="s">
        <v>414</v>
      </c>
      <c r="E66" s="10" t="s">
        <v>427</v>
      </c>
    </row>
    <row r="67" spans="1:5" x14ac:dyDescent="0.2">
      <c r="A67" s="9">
        <v>1820</v>
      </c>
      <c r="B67" s="10" t="s">
        <v>415</v>
      </c>
      <c r="C67" s="10" t="s">
        <v>148</v>
      </c>
      <c r="D67" s="10" t="s">
        <v>415</v>
      </c>
      <c r="E67" s="10" t="s">
        <v>428</v>
      </c>
    </row>
    <row r="68" spans="1:5" x14ac:dyDescent="0.2">
      <c r="A68" s="9">
        <v>1830</v>
      </c>
      <c r="B68" s="10" t="s">
        <v>416</v>
      </c>
      <c r="C68" s="10" t="s">
        <v>149</v>
      </c>
      <c r="D68" s="10" t="s">
        <v>417</v>
      </c>
      <c r="E68" s="10" t="s">
        <v>429</v>
      </c>
    </row>
    <row r="69" spans="1:5" x14ac:dyDescent="0.2">
      <c r="A69" s="9">
        <v>1840</v>
      </c>
      <c r="B69" s="10" t="s">
        <v>418</v>
      </c>
      <c r="C69" s="10" t="s">
        <v>150</v>
      </c>
      <c r="D69" s="10" t="s">
        <v>419</v>
      </c>
      <c r="E69" s="10" t="s">
        <v>430</v>
      </c>
    </row>
    <row r="70" spans="1:5" ht="16" thickBot="1" x14ac:dyDescent="0.25">
      <c r="A70" s="11">
        <v>1850</v>
      </c>
      <c r="B70" s="1" t="s">
        <v>151</v>
      </c>
      <c r="C70" s="1" t="s">
        <v>9</v>
      </c>
      <c r="D70" s="1" t="s">
        <v>9</v>
      </c>
      <c r="E70" s="1" t="s">
        <v>431</v>
      </c>
    </row>
    <row r="71" spans="1:5" x14ac:dyDescent="0.2">
      <c r="A71" s="9">
        <v>1860</v>
      </c>
      <c r="B71" s="10" t="s">
        <v>420</v>
      </c>
      <c r="C71" s="10" t="s">
        <v>152</v>
      </c>
      <c r="D71" s="10" t="s">
        <v>420</v>
      </c>
      <c r="E71" s="10" t="s">
        <v>431</v>
      </c>
    </row>
    <row r="72" spans="1:5" ht="43" thickBot="1" x14ac:dyDescent="0.25">
      <c r="A72" s="11">
        <v>1870</v>
      </c>
      <c r="B72" s="1" t="s">
        <v>421</v>
      </c>
      <c r="C72" s="1" t="s">
        <v>153</v>
      </c>
      <c r="D72" s="1" t="s">
        <v>422</v>
      </c>
      <c r="E72" s="1" t="s">
        <v>432</v>
      </c>
    </row>
    <row r="73" spans="1:5" ht="16" thickBot="1" x14ac:dyDescent="0.25">
      <c r="A73" s="11">
        <v>1880</v>
      </c>
      <c r="B73" s="1" t="s">
        <v>423</v>
      </c>
      <c r="C73" s="1" t="s">
        <v>154</v>
      </c>
      <c r="D73" s="1" t="s">
        <v>423</v>
      </c>
      <c r="E73" s="1" t="s">
        <v>430</v>
      </c>
    </row>
    <row r="74" spans="1:5" x14ac:dyDescent="0.2">
      <c r="A74" s="2" t="s">
        <v>94</v>
      </c>
    </row>
    <row r="76" spans="1:5" x14ac:dyDescent="0.2">
      <c r="A76" s="4" t="s">
        <v>155</v>
      </c>
    </row>
    <row r="77" spans="1:5" ht="16" thickBot="1" x14ac:dyDescent="0.25">
      <c r="A77" s="11">
        <v>1900</v>
      </c>
      <c r="B77" s="1" t="s">
        <v>156</v>
      </c>
      <c r="C77" s="1" t="s">
        <v>157</v>
      </c>
      <c r="D77" s="1" t="s">
        <v>158</v>
      </c>
      <c r="E77" s="1" t="s">
        <v>159</v>
      </c>
    </row>
    <row r="78" spans="1:5" ht="16" thickBot="1" x14ac:dyDescent="0.25">
      <c r="A78" s="11">
        <v>1910</v>
      </c>
      <c r="B78" s="1" t="s">
        <v>160</v>
      </c>
      <c r="C78" s="1" t="s">
        <v>161</v>
      </c>
      <c r="D78" s="1" t="s">
        <v>162</v>
      </c>
      <c r="E78" s="1" t="s">
        <v>159</v>
      </c>
    </row>
    <row r="79" spans="1:5" ht="16" thickBot="1" x14ac:dyDescent="0.25">
      <c r="A79" s="11">
        <v>1920</v>
      </c>
      <c r="B79" s="1" t="s">
        <v>163</v>
      </c>
      <c r="C79" s="1" t="s">
        <v>164</v>
      </c>
      <c r="D79" s="1" t="s">
        <v>165</v>
      </c>
      <c r="E79" s="1" t="s">
        <v>159</v>
      </c>
    </row>
    <row r="80" spans="1:5" ht="16" thickBot="1" x14ac:dyDescent="0.25">
      <c r="A80" s="11">
        <v>1930</v>
      </c>
      <c r="B80" s="1" t="s">
        <v>166</v>
      </c>
      <c r="C80" s="1" t="s">
        <v>167</v>
      </c>
      <c r="D80" s="1" t="s">
        <v>168</v>
      </c>
      <c r="E80" s="1" t="s">
        <v>159</v>
      </c>
    </row>
    <row r="81" spans="1:5" x14ac:dyDescent="0.2">
      <c r="A81" s="9" t="s">
        <v>9</v>
      </c>
      <c r="B81" s="10" t="s">
        <v>9</v>
      </c>
      <c r="C81" s="10" t="s">
        <v>169</v>
      </c>
      <c r="D81" s="10" t="s">
        <v>170</v>
      </c>
      <c r="E81" s="10" t="s">
        <v>185</v>
      </c>
    </row>
    <row r="82" spans="1:5" ht="16" thickBot="1" x14ac:dyDescent="0.25">
      <c r="A82" s="11">
        <v>1950</v>
      </c>
      <c r="B82" s="1" t="s">
        <v>171</v>
      </c>
      <c r="C82" s="1" t="s">
        <v>172</v>
      </c>
      <c r="D82" s="1" t="s">
        <v>173</v>
      </c>
      <c r="E82" s="1" t="s">
        <v>174</v>
      </c>
    </row>
    <row r="83" spans="1:5" ht="16" thickBot="1" x14ac:dyDescent="0.25">
      <c r="A83" s="11">
        <v>1960</v>
      </c>
      <c r="B83" s="1" t="s">
        <v>175</v>
      </c>
      <c r="C83" s="1" t="s">
        <v>176</v>
      </c>
      <c r="D83" s="1" t="s">
        <v>177</v>
      </c>
      <c r="E83" s="1" t="s">
        <v>159</v>
      </c>
    </row>
    <row r="84" spans="1:5" ht="16" thickBot="1" x14ac:dyDescent="0.25">
      <c r="A84" s="11" t="s">
        <v>9</v>
      </c>
      <c r="B84" s="1" t="s">
        <v>9</v>
      </c>
      <c r="C84" s="1" t="s">
        <v>178</v>
      </c>
      <c r="D84" s="1" t="s">
        <v>179</v>
      </c>
      <c r="E84" s="1" t="s">
        <v>159</v>
      </c>
    </row>
    <row r="85" spans="1:5" ht="16" thickBot="1" x14ac:dyDescent="0.25">
      <c r="A85" s="11" t="s">
        <v>9</v>
      </c>
      <c r="B85" s="1" t="s">
        <v>9</v>
      </c>
      <c r="C85" s="1" t="s">
        <v>180</v>
      </c>
      <c r="D85" s="1" t="s">
        <v>181</v>
      </c>
      <c r="E85" s="1" t="s">
        <v>159</v>
      </c>
    </row>
    <row r="86" spans="1:5" ht="16" thickBot="1" x14ac:dyDescent="0.25">
      <c r="A86" s="11" t="s">
        <v>9</v>
      </c>
      <c r="B86" s="1" t="s">
        <v>9</v>
      </c>
      <c r="C86" s="1" t="s">
        <v>182</v>
      </c>
      <c r="D86" s="1" t="s">
        <v>183</v>
      </c>
      <c r="E86" s="1" t="s">
        <v>159</v>
      </c>
    </row>
    <row r="87" spans="1:5" x14ac:dyDescent="0.2">
      <c r="A87" s="2" t="s">
        <v>186</v>
      </c>
    </row>
    <row r="89" spans="1:5" x14ac:dyDescent="0.2">
      <c r="A89" s="4" t="s">
        <v>187</v>
      </c>
    </row>
    <row r="90" spans="1:5" ht="29" thickBot="1" x14ac:dyDescent="0.25">
      <c r="A90" s="11">
        <v>2000</v>
      </c>
      <c r="B90" s="1" t="s">
        <v>188</v>
      </c>
      <c r="C90" s="1" t="s">
        <v>9</v>
      </c>
      <c r="D90" s="1" t="s">
        <v>9</v>
      </c>
      <c r="E90" s="1" t="s">
        <v>159</v>
      </c>
    </row>
    <row r="91" spans="1:5" ht="16" thickBot="1" x14ac:dyDescent="0.25">
      <c r="A91" s="11">
        <v>2100</v>
      </c>
      <c r="B91" s="1" t="s">
        <v>189</v>
      </c>
      <c r="C91" s="1" t="s">
        <v>190</v>
      </c>
      <c r="D91" s="1" t="s">
        <v>191</v>
      </c>
      <c r="E91" s="1" t="s">
        <v>159</v>
      </c>
    </row>
    <row r="92" spans="1:5" ht="16" thickBot="1" x14ac:dyDescent="0.25">
      <c r="A92" s="11" t="s">
        <v>192</v>
      </c>
      <c r="B92" s="1" t="s">
        <v>193</v>
      </c>
      <c r="C92" s="1" t="s">
        <v>9</v>
      </c>
      <c r="D92" s="1" t="s">
        <v>9</v>
      </c>
      <c r="E92" s="1" t="s">
        <v>159</v>
      </c>
    </row>
    <row r="93" spans="1:5" ht="16" thickBot="1" x14ac:dyDescent="0.25">
      <c r="A93" s="11">
        <v>2200</v>
      </c>
      <c r="B93" s="1" t="s">
        <v>194</v>
      </c>
      <c r="C93" s="1" t="s">
        <v>195</v>
      </c>
      <c r="D93" s="1" t="s">
        <v>196</v>
      </c>
      <c r="E93" s="1" t="s">
        <v>159</v>
      </c>
    </row>
    <row r="94" spans="1:5" ht="29" thickBot="1" x14ac:dyDescent="0.25">
      <c r="A94" s="11">
        <v>2300</v>
      </c>
      <c r="B94" s="1" t="s">
        <v>197</v>
      </c>
      <c r="C94" s="1" t="s">
        <v>198</v>
      </c>
      <c r="D94" s="1" t="s">
        <v>199</v>
      </c>
      <c r="E94" s="1" t="s">
        <v>159</v>
      </c>
    </row>
    <row r="95" spans="1:5" ht="29" thickBot="1" x14ac:dyDescent="0.25">
      <c r="A95" s="11" t="s">
        <v>200</v>
      </c>
      <c r="B95" s="1" t="s">
        <v>201</v>
      </c>
      <c r="C95" s="1" t="s">
        <v>9</v>
      </c>
      <c r="D95" s="1" t="s">
        <v>9</v>
      </c>
      <c r="E95" s="1" t="s">
        <v>159</v>
      </c>
    </row>
    <row r="96" spans="1:5" ht="16" thickBot="1" x14ac:dyDescent="0.25">
      <c r="A96" s="11">
        <v>2500</v>
      </c>
      <c r="B96" s="1" t="s">
        <v>202</v>
      </c>
      <c r="C96" s="1" t="s">
        <v>203</v>
      </c>
      <c r="D96" s="1" t="s">
        <v>204</v>
      </c>
      <c r="E96" s="1" t="s">
        <v>174</v>
      </c>
    </row>
    <row r="97" spans="1:5" ht="16" thickBot="1" x14ac:dyDescent="0.25">
      <c r="A97" s="11" t="s">
        <v>9</v>
      </c>
      <c r="B97" s="1" t="s">
        <v>9</v>
      </c>
      <c r="C97" s="1" t="s">
        <v>205</v>
      </c>
      <c r="D97" s="1" t="s">
        <v>206</v>
      </c>
      <c r="E97" s="1" t="s">
        <v>159</v>
      </c>
    </row>
    <row r="98" spans="1:5" ht="16" thickBot="1" x14ac:dyDescent="0.25">
      <c r="A98" s="11">
        <v>2900</v>
      </c>
      <c r="B98" s="1" t="s">
        <v>207</v>
      </c>
      <c r="C98" s="1" t="s">
        <v>208</v>
      </c>
      <c r="D98" s="1" t="s">
        <v>209</v>
      </c>
      <c r="E98" s="1" t="s">
        <v>159</v>
      </c>
    </row>
    <row r="99" spans="1:5" ht="16" thickBot="1" x14ac:dyDescent="0.25">
      <c r="A99" s="11">
        <v>3100</v>
      </c>
      <c r="B99" s="1" t="s">
        <v>210</v>
      </c>
      <c r="C99" s="1" t="s">
        <v>211</v>
      </c>
      <c r="D99" s="1" t="s">
        <v>212</v>
      </c>
      <c r="E99" s="1" t="s">
        <v>213</v>
      </c>
    </row>
    <row r="100" spans="1:5" ht="16" thickBot="1" x14ac:dyDescent="0.25">
      <c r="A100" s="11" t="s">
        <v>9</v>
      </c>
      <c r="B100" s="1" t="s">
        <v>9</v>
      </c>
      <c r="C100" s="1" t="s">
        <v>214</v>
      </c>
      <c r="D100" s="1" t="s">
        <v>215</v>
      </c>
      <c r="E100" s="1" t="s">
        <v>213</v>
      </c>
    </row>
    <row r="101" spans="1:5" ht="16" thickBot="1" x14ac:dyDescent="0.25">
      <c r="A101" s="11">
        <v>4100</v>
      </c>
      <c r="B101" s="1" t="s">
        <v>216</v>
      </c>
      <c r="C101" s="1" t="s">
        <v>217</v>
      </c>
      <c r="D101" s="1" t="s">
        <v>218</v>
      </c>
      <c r="E101" s="1" t="s">
        <v>184</v>
      </c>
    </row>
    <row r="102" spans="1:5" ht="16" thickBot="1" x14ac:dyDescent="0.25">
      <c r="A102" s="11">
        <v>5100</v>
      </c>
      <c r="B102" s="1" t="s">
        <v>219</v>
      </c>
      <c r="C102" s="1" t="s">
        <v>220</v>
      </c>
      <c r="D102" s="1" t="s">
        <v>221</v>
      </c>
      <c r="E102" s="1" t="s">
        <v>222</v>
      </c>
    </row>
    <row r="103" spans="1:5" x14ac:dyDescent="0.2">
      <c r="A103" s="2" t="s">
        <v>94</v>
      </c>
    </row>
    <row r="105" spans="1:5" x14ac:dyDescent="0.2">
      <c r="A105" s="4" t="s">
        <v>223</v>
      </c>
    </row>
    <row r="106" spans="1:5" ht="16" thickBot="1" x14ac:dyDescent="0.25">
      <c r="A106" s="11">
        <v>6000</v>
      </c>
      <c r="B106" s="1" t="s">
        <v>224</v>
      </c>
      <c r="C106" s="1" t="s">
        <v>9</v>
      </c>
      <c r="D106" s="1" t="s">
        <v>9</v>
      </c>
      <c r="E106" s="1" t="s">
        <v>433</v>
      </c>
    </row>
    <row r="107" spans="1:5" x14ac:dyDescent="0.2">
      <c r="A107" s="9">
        <v>6110</v>
      </c>
      <c r="B107" s="10" t="s">
        <v>225</v>
      </c>
      <c r="C107" s="10" t="s">
        <v>226</v>
      </c>
      <c r="D107" s="10" t="s">
        <v>227</v>
      </c>
      <c r="E107" s="10" t="s">
        <v>237</v>
      </c>
    </row>
    <row r="108" spans="1:5" x14ac:dyDescent="0.2">
      <c r="A108" s="9">
        <v>6120</v>
      </c>
      <c r="B108" s="10" t="s">
        <v>228</v>
      </c>
      <c r="C108" s="10" t="s">
        <v>229</v>
      </c>
      <c r="D108" s="10" t="s">
        <v>230</v>
      </c>
      <c r="E108" s="10" t="s">
        <v>237</v>
      </c>
    </row>
    <row r="109" spans="1:5" x14ac:dyDescent="0.2">
      <c r="A109" s="9">
        <v>6130</v>
      </c>
      <c r="B109" s="10" t="s">
        <v>231</v>
      </c>
      <c r="C109" s="10" t="s">
        <v>232</v>
      </c>
      <c r="D109" s="10" t="s">
        <v>233</v>
      </c>
      <c r="E109" s="10" t="s">
        <v>237</v>
      </c>
    </row>
    <row r="110" spans="1:5" x14ac:dyDescent="0.2">
      <c r="A110" s="9">
        <v>6180</v>
      </c>
      <c r="B110" s="10" t="s">
        <v>234</v>
      </c>
      <c r="C110" s="10" t="s">
        <v>235</v>
      </c>
      <c r="D110" s="10" t="s">
        <v>236</v>
      </c>
      <c r="E110" s="10" t="s">
        <v>237</v>
      </c>
    </row>
    <row r="111" spans="1:5" ht="16" thickBot="1" x14ac:dyDescent="0.25"/>
    <row r="112" spans="1:5" x14ac:dyDescent="0.2">
      <c r="A112" s="15" t="s">
        <v>253</v>
      </c>
      <c r="B112" s="12"/>
      <c r="C112" s="12"/>
      <c r="D112" s="12"/>
      <c r="E112" s="12"/>
    </row>
    <row r="113" spans="1:5" x14ac:dyDescent="0.2">
      <c r="A113" s="9">
        <v>6200</v>
      </c>
      <c r="B113" s="10" t="s">
        <v>238</v>
      </c>
      <c r="C113" s="10" t="s">
        <v>239</v>
      </c>
      <c r="D113" s="10" t="s">
        <v>252</v>
      </c>
      <c r="E113" s="10" t="s">
        <v>42</v>
      </c>
    </row>
    <row r="114" spans="1:5" x14ac:dyDescent="0.2">
      <c r="A114" s="9">
        <v>6230</v>
      </c>
      <c r="B114" s="10" t="s">
        <v>240</v>
      </c>
      <c r="C114" s="10" t="s">
        <v>241</v>
      </c>
      <c r="D114" s="10" t="s">
        <v>242</v>
      </c>
      <c r="E114" s="10" t="s">
        <v>42</v>
      </c>
    </row>
    <row r="115" spans="1:5" x14ac:dyDescent="0.2">
      <c r="A115" s="9">
        <v>6260</v>
      </c>
      <c r="B115" s="10" t="s">
        <v>243</v>
      </c>
      <c r="C115" s="10" t="s">
        <v>244</v>
      </c>
      <c r="D115" s="10" t="s">
        <v>245</v>
      </c>
      <c r="E115" s="10" t="s">
        <v>42</v>
      </c>
    </row>
    <row r="116" spans="1:5" x14ac:dyDescent="0.2">
      <c r="A116" s="9">
        <v>6280</v>
      </c>
      <c r="B116" s="10" t="s">
        <v>246</v>
      </c>
      <c r="C116" s="10" t="s">
        <v>247</v>
      </c>
      <c r="D116" s="10" t="s">
        <v>248</v>
      </c>
      <c r="E116" s="10" t="s">
        <v>42</v>
      </c>
    </row>
    <row r="117" spans="1:5" x14ac:dyDescent="0.2">
      <c r="A117" s="9">
        <v>6290</v>
      </c>
      <c r="B117" s="10" t="s">
        <v>249</v>
      </c>
      <c r="C117" s="10" t="s">
        <v>250</v>
      </c>
      <c r="D117" s="10" t="s">
        <v>251</v>
      </c>
      <c r="E117" s="10" t="s">
        <v>42</v>
      </c>
    </row>
    <row r="119" spans="1:5" x14ac:dyDescent="0.2">
      <c r="A119" s="4" t="s">
        <v>254</v>
      </c>
    </row>
    <row r="120" spans="1:5" x14ac:dyDescent="0.2">
      <c r="A120" s="9">
        <v>6310</v>
      </c>
      <c r="B120" s="10" t="s">
        <v>255</v>
      </c>
      <c r="C120" s="10" t="s">
        <v>256</v>
      </c>
      <c r="D120" s="10" t="s">
        <v>257</v>
      </c>
      <c r="E120" s="10" t="s">
        <v>93</v>
      </c>
    </row>
    <row r="121" spans="1:5" x14ac:dyDescent="0.2">
      <c r="A121" s="9">
        <v>6320</v>
      </c>
      <c r="B121" s="10" t="s">
        <v>258</v>
      </c>
      <c r="C121" s="10" t="s">
        <v>259</v>
      </c>
      <c r="D121" s="10" t="s">
        <v>260</v>
      </c>
      <c r="E121" s="10" t="s">
        <v>93</v>
      </c>
    </row>
    <row r="122" spans="1:5" ht="28" x14ac:dyDescent="0.2">
      <c r="A122" s="9" t="s">
        <v>261</v>
      </c>
      <c r="B122" s="10" t="s">
        <v>262</v>
      </c>
      <c r="C122" s="10" t="s">
        <v>9</v>
      </c>
      <c r="D122" s="10" t="s">
        <v>9</v>
      </c>
      <c r="E122" s="10" t="s">
        <v>93</v>
      </c>
    </row>
    <row r="123" spans="1:5" x14ac:dyDescent="0.2">
      <c r="A123" s="9">
        <v>6330</v>
      </c>
      <c r="B123" s="10" t="s">
        <v>263</v>
      </c>
      <c r="C123" s="10" t="s">
        <v>264</v>
      </c>
      <c r="D123" s="10" t="s">
        <v>265</v>
      </c>
      <c r="E123" s="10" t="s">
        <v>93</v>
      </c>
    </row>
    <row r="124" spans="1:5" x14ac:dyDescent="0.2">
      <c r="A124" s="9">
        <v>6360</v>
      </c>
      <c r="B124" s="10" t="s">
        <v>266</v>
      </c>
      <c r="C124" s="10" t="s">
        <v>267</v>
      </c>
      <c r="D124" s="10" t="s">
        <v>268</v>
      </c>
      <c r="E124" s="10" t="s">
        <v>93</v>
      </c>
    </row>
    <row r="125" spans="1:5" x14ac:dyDescent="0.2">
      <c r="A125" s="9">
        <v>6390</v>
      </c>
      <c r="B125" s="10" t="s">
        <v>269</v>
      </c>
      <c r="C125" s="10" t="s">
        <v>270</v>
      </c>
      <c r="D125" s="10" t="s">
        <v>271</v>
      </c>
      <c r="E125" s="10" t="s">
        <v>93</v>
      </c>
    </row>
    <row r="126" spans="1:5" ht="16" thickBot="1" x14ac:dyDescent="0.25">
      <c r="A126" s="5" t="s">
        <v>94</v>
      </c>
      <c r="B126" s="13"/>
      <c r="C126" s="13"/>
      <c r="D126" s="13"/>
      <c r="E126" s="1"/>
    </row>
    <row r="128" spans="1:5" x14ac:dyDescent="0.2">
      <c r="A128" s="4" t="s">
        <v>272</v>
      </c>
    </row>
    <row r="129" spans="1:5" x14ac:dyDescent="0.2">
      <c r="A129" s="9">
        <v>6410</v>
      </c>
      <c r="B129" s="10" t="s">
        <v>273</v>
      </c>
      <c r="C129" s="10" t="s">
        <v>274</v>
      </c>
      <c r="D129" s="10" t="s">
        <v>275</v>
      </c>
      <c r="E129" s="10" t="s">
        <v>286</v>
      </c>
    </row>
    <row r="130" spans="1:5" x14ac:dyDescent="0.2">
      <c r="A130" s="9">
        <v>6430</v>
      </c>
      <c r="B130" s="10" t="s">
        <v>276</v>
      </c>
      <c r="C130" s="10" t="s">
        <v>277</v>
      </c>
      <c r="D130" s="10" t="s">
        <v>278</v>
      </c>
      <c r="E130" s="10" t="s">
        <v>287</v>
      </c>
    </row>
    <row r="131" spans="1:5" x14ac:dyDescent="0.2">
      <c r="A131" s="9">
        <v>6480</v>
      </c>
      <c r="B131" s="10" t="s">
        <v>279</v>
      </c>
      <c r="C131" s="10" t="s">
        <v>280</v>
      </c>
      <c r="D131" s="10" t="s">
        <v>281</v>
      </c>
      <c r="E131" s="10" t="s">
        <v>237</v>
      </c>
    </row>
    <row r="132" spans="1:5" ht="16" thickBot="1" x14ac:dyDescent="0.25">
      <c r="A132" s="11">
        <v>6490</v>
      </c>
      <c r="B132" s="1" t="s">
        <v>282</v>
      </c>
      <c r="C132" s="1" t="s">
        <v>283</v>
      </c>
      <c r="D132" s="1" t="s">
        <v>284</v>
      </c>
      <c r="E132" s="1" t="s">
        <v>285</v>
      </c>
    </row>
    <row r="133" spans="1:5" x14ac:dyDescent="0.2">
      <c r="A133" s="2" t="s">
        <v>288</v>
      </c>
      <c r="B133" s="2"/>
    </row>
    <row r="135" spans="1:5" x14ac:dyDescent="0.2">
      <c r="A135" s="4" t="s">
        <v>289</v>
      </c>
    </row>
    <row r="136" spans="1:5" ht="16" thickBot="1" x14ac:dyDescent="0.25">
      <c r="A136" s="11">
        <v>6510</v>
      </c>
      <c r="B136" s="1" t="s">
        <v>290</v>
      </c>
      <c r="C136" s="1" t="s">
        <v>291</v>
      </c>
      <c r="D136" s="1" t="s">
        <v>292</v>
      </c>
      <c r="E136" s="1" t="s">
        <v>213</v>
      </c>
    </row>
    <row r="137" spans="1:5" x14ac:dyDescent="0.2">
      <c r="A137" s="9">
        <v>6530</v>
      </c>
      <c r="B137" s="10" t="s">
        <v>293</v>
      </c>
      <c r="C137" s="10" t="s">
        <v>294</v>
      </c>
      <c r="D137" s="10" t="s">
        <v>295</v>
      </c>
      <c r="E137" s="10" t="s">
        <v>222</v>
      </c>
    </row>
    <row r="139" spans="1:5" x14ac:dyDescent="0.2">
      <c r="A139" s="4" t="s">
        <v>296</v>
      </c>
    </row>
    <row r="140" spans="1:5" x14ac:dyDescent="0.2">
      <c r="A140" s="9">
        <v>6800</v>
      </c>
      <c r="B140" s="10" t="s">
        <v>297</v>
      </c>
      <c r="C140" s="10" t="s">
        <v>298</v>
      </c>
      <c r="D140" s="10" t="s">
        <v>305</v>
      </c>
      <c r="E140" s="10" t="s">
        <v>433</v>
      </c>
    </row>
    <row r="141" spans="1:5" x14ac:dyDescent="0.2">
      <c r="A141" s="9">
        <v>6810</v>
      </c>
      <c r="B141" s="10" t="s">
        <v>299</v>
      </c>
      <c r="C141" s="10" t="s">
        <v>300</v>
      </c>
      <c r="D141" s="10" t="s">
        <v>306</v>
      </c>
      <c r="E141" s="10" t="s">
        <v>433</v>
      </c>
    </row>
    <row r="142" spans="1:5" x14ac:dyDescent="0.2">
      <c r="A142" s="9">
        <v>6820</v>
      </c>
      <c r="B142" s="10" t="s">
        <v>301</v>
      </c>
      <c r="C142" s="10" t="s">
        <v>302</v>
      </c>
      <c r="D142" s="10" t="s">
        <v>307</v>
      </c>
      <c r="E142" s="10" t="s">
        <v>433</v>
      </c>
    </row>
    <row r="143" spans="1:5" x14ac:dyDescent="0.2">
      <c r="A143" s="9">
        <v>6830</v>
      </c>
      <c r="B143" s="10" t="s">
        <v>303</v>
      </c>
      <c r="C143" s="10" t="s">
        <v>304</v>
      </c>
      <c r="D143" s="10" t="s">
        <v>308</v>
      </c>
      <c r="E143" s="10" t="s">
        <v>433</v>
      </c>
    </row>
    <row r="144" spans="1:5" x14ac:dyDescent="0.2">
      <c r="A144" s="2" t="s">
        <v>309</v>
      </c>
    </row>
    <row r="146" spans="1:5" x14ac:dyDescent="0.2">
      <c r="A146" s="4" t="s">
        <v>310</v>
      </c>
    </row>
    <row r="147" spans="1:5" x14ac:dyDescent="0.2">
      <c r="A147" s="9">
        <v>7110</v>
      </c>
      <c r="B147" s="10" t="s">
        <v>311</v>
      </c>
      <c r="C147" s="10" t="s">
        <v>312</v>
      </c>
      <c r="D147" s="10" t="s">
        <v>313</v>
      </c>
      <c r="E147" s="10" t="s">
        <v>237</v>
      </c>
    </row>
    <row r="148" spans="1:5" x14ac:dyDescent="0.2">
      <c r="A148" s="9">
        <v>7120</v>
      </c>
      <c r="B148" s="10" t="s">
        <v>314</v>
      </c>
      <c r="C148" s="10" t="s">
        <v>315</v>
      </c>
      <c r="D148" s="10" t="s">
        <v>316</v>
      </c>
      <c r="E148" s="10" t="s">
        <v>237</v>
      </c>
    </row>
    <row r="149" spans="1:5" x14ac:dyDescent="0.2">
      <c r="A149" s="9">
        <v>7130</v>
      </c>
      <c r="B149" s="10" t="s">
        <v>317</v>
      </c>
      <c r="C149" s="10" t="s">
        <v>318</v>
      </c>
      <c r="D149" s="10" t="s">
        <v>319</v>
      </c>
      <c r="E149" s="10" t="s">
        <v>237</v>
      </c>
    </row>
    <row r="150" spans="1:5" x14ac:dyDescent="0.2">
      <c r="A150" s="9">
        <v>7150</v>
      </c>
      <c r="B150" s="10" t="s">
        <v>320</v>
      </c>
      <c r="C150" s="10" t="s">
        <v>321</v>
      </c>
      <c r="D150" s="10" t="s">
        <v>322</v>
      </c>
      <c r="E150" s="10" t="s">
        <v>44</v>
      </c>
    </row>
    <row r="151" spans="1:5" x14ac:dyDescent="0.2">
      <c r="A151" s="9">
        <v>7170</v>
      </c>
      <c r="B151" s="10" t="s">
        <v>323</v>
      </c>
      <c r="C151" s="10" t="s">
        <v>324</v>
      </c>
      <c r="D151" s="10" t="s">
        <v>325</v>
      </c>
      <c r="E151" s="10" t="s">
        <v>44</v>
      </c>
    </row>
    <row r="152" spans="1:5" x14ac:dyDescent="0.2">
      <c r="A152" s="9">
        <v>7180</v>
      </c>
      <c r="B152" s="10" t="s">
        <v>326</v>
      </c>
      <c r="C152" s="10" t="s">
        <v>327</v>
      </c>
      <c r="D152" s="10" t="s">
        <v>328</v>
      </c>
      <c r="E152" s="10" t="s">
        <v>237</v>
      </c>
    </row>
    <row r="154" spans="1:5" x14ac:dyDescent="0.2">
      <c r="A154" s="4" t="s">
        <v>329</v>
      </c>
    </row>
    <row r="155" spans="1:5" x14ac:dyDescent="0.2">
      <c r="A155" s="9">
        <v>7200</v>
      </c>
      <c r="B155" s="10" t="s">
        <v>330</v>
      </c>
      <c r="C155" s="10" t="s">
        <v>331</v>
      </c>
      <c r="D155" s="10" t="s">
        <v>332</v>
      </c>
      <c r="E155" s="10" t="s">
        <v>42</v>
      </c>
    </row>
    <row r="156" spans="1:5" x14ac:dyDescent="0.2">
      <c r="A156" s="9">
        <v>7260</v>
      </c>
      <c r="B156" s="10" t="s">
        <v>333</v>
      </c>
      <c r="C156" s="10" t="s">
        <v>334</v>
      </c>
      <c r="D156" s="10" t="s">
        <v>335</v>
      </c>
      <c r="E156" s="10" t="s">
        <v>42</v>
      </c>
    </row>
    <row r="157" spans="1:5" x14ac:dyDescent="0.2">
      <c r="A157" s="9">
        <v>7280</v>
      </c>
      <c r="B157" s="10" t="s">
        <v>336</v>
      </c>
      <c r="C157" s="10" t="s">
        <v>337</v>
      </c>
      <c r="D157" s="10" t="s">
        <v>338</v>
      </c>
      <c r="E157" s="10" t="s">
        <v>42</v>
      </c>
    </row>
    <row r="158" spans="1:5" x14ac:dyDescent="0.2">
      <c r="A158" s="2" t="s">
        <v>94</v>
      </c>
    </row>
    <row r="160" spans="1:5" x14ac:dyDescent="0.2">
      <c r="A160" s="4" t="s">
        <v>339</v>
      </c>
    </row>
    <row r="161" spans="1:5" x14ac:dyDescent="0.2">
      <c r="A161" s="9">
        <v>7310</v>
      </c>
      <c r="B161" s="10" t="s">
        <v>340</v>
      </c>
      <c r="C161" s="10" t="s">
        <v>341</v>
      </c>
      <c r="D161" s="10" t="s">
        <v>342</v>
      </c>
      <c r="E161" s="10" t="s">
        <v>93</v>
      </c>
    </row>
    <row r="162" spans="1:5" x14ac:dyDescent="0.2">
      <c r="A162" s="9">
        <v>7320</v>
      </c>
      <c r="B162" s="10" t="s">
        <v>343</v>
      </c>
      <c r="C162" s="10" t="s">
        <v>344</v>
      </c>
      <c r="D162" s="10" t="s">
        <v>345</v>
      </c>
      <c r="E162" s="10" t="s">
        <v>93</v>
      </c>
    </row>
    <row r="163" spans="1:5" ht="28" x14ac:dyDescent="0.2">
      <c r="A163" s="9" t="s">
        <v>346</v>
      </c>
      <c r="B163" s="10" t="s">
        <v>347</v>
      </c>
      <c r="C163" s="10" t="s">
        <v>9</v>
      </c>
      <c r="D163" s="10" t="s">
        <v>9</v>
      </c>
      <c r="E163" s="10" t="s">
        <v>93</v>
      </c>
    </row>
    <row r="164" spans="1:5" x14ac:dyDescent="0.2">
      <c r="A164" s="9">
        <v>7330</v>
      </c>
      <c r="B164" s="10" t="s">
        <v>348</v>
      </c>
      <c r="C164" s="10" t="s">
        <v>349</v>
      </c>
      <c r="D164" s="10" t="s">
        <v>350</v>
      </c>
      <c r="E164" s="10" t="s">
        <v>93</v>
      </c>
    </row>
    <row r="165" spans="1:5" x14ac:dyDescent="0.2">
      <c r="A165" s="9">
        <v>7360</v>
      </c>
      <c r="B165" s="10" t="s">
        <v>351</v>
      </c>
      <c r="C165" s="10" t="s">
        <v>352</v>
      </c>
      <c r="D165" s="10" t="s">
        <v>353</v>
      </c>
      <c r="E165" s="10" t="s">
        <v>93</v>
      </c>
    </row>
    <row r="166" spans="1:5" ht="28" x14ac:dyDescent="0.2">
      <c r="A166" s="9">
        <v>7371</v>
      </c>
      <c r="B166" s="10" t="s">
        <v>354</v>
      </c>
      <c r="C166" s="10" t="s">
        <v>355</v>
      </c>
      <c r="D166" s="10" t="s">
        <v>356</v>
      </c>
      <c r="E166" s="10" t="s">
        <v>93</v>
      </c>
    </row>
    <row r="167" spans="1:5" x14ac:dyDescent="0.2">
      <c r="A167" s="2" t="s">
        <v>94</v>
      </c>
    </row>
    <row r="169" spans="1:5" x14ac:dyDescent="0.2">
      <c r="A169" s="4" t="s">
        <v>357</v>
      </c>
    </row>
    <row r="170" spans="1:5" x14ac:dyDescent="0.2">
      <c r="A170" s="9">
        <v>7400</v>
      </c>
      <c r="B170" s="10" t="s">
        <v>411</v>
      </c>
      <c r="C170" s="10" t="s">
        <v>358</v>
      </c>
      <c r="D170" s="10" t="s">
        <v>359</v>
      </c>
      <c r="E170" s="10" t="s">
        <v>366</v>
      </c>
    </row>
    <row r="171" spans="1:5" x14ac:dyDescent="0.2">
      <c r="A171" s="9">
        <v>7410</v>
      </c>
      <c r="B171" s="10" t="s">
        <v>360</v>
      </c>
      <c r="C171" s="10" t="s">
        <v>361</v>
      </c>
      <c r="D171" s="10" t="s">
        <v>362</v>
      </c>
      <c r="E171" s="10" t="s">
        <v>367</v>
      </c>
    </row>
    <row r="172" spans="1:5" x14ac:dyDescent="0.2">
      <c r="A172" s="9">
        <v>7490</v>
      </c>
      <c r="B172" s="10" t="s">
        <v>363</v>
      </c>
      <c r="C172" s="10" t="s">
        <v>364</v>
      </c>
      <c r="D172" s="10" t="s">
        <v>365</v>
      </c>
      <c r="E172" s="10" t="s">
        <v>285</v>
      </c>
    </row>
    <row r="173" spans="1:5" ht="144" x14ac:dyDescent="0.2">
      <c r="A173" s="17" t="s">
        <v>410</v>
      </c>
    </row>
    <row r="174" spans="1:5" x14ac:dyDescent="0.2">
      <c r="A174" s="4" t="s">
        <v>368</v>
      </c>
    </row>
    <row r="175" spans="1:5" ht="16" thickBot="1" x14ac:dyDescent="0.25">
      <c r="A175" s="11" t="s">
        <v>369</v>
      </c>
      <c r="B175" s="1" t="s">
        <v>370</v>
      </c>
      <c r="C175" s="1" t="s">
        <v>371</v>
      </c>
      <c r="D175" s="1" t="s">
        <v>372</v>
      </c>
      <c r="E175" s="1" t="s">
        <v>213</v>
      </c>
    </row>
    <row r="176" spans="1:5" ht="16" thickBot="1" x14ac:dyDescent="0.25">
      <c r="A176" s="11">
        <v>7530</v>
      </c>
      <c r="B176" s="1" t="s">
        <v>373</v>
      </c>
      <c r="C176" s="1" t="s">
        <v>374</v>
      </c>
      <c r="D176" s="1" t="s">
        <v>375</v>
      </c>
      <c r="E176" s="1" t="s">
        <v>222</v>
      </c>
    </row>
    <row r="177" spans="1:5" ht="16" thickBot="1" x14ac:dyDescent="0.25">
      <c r="A177" s="11">
        <v>7560</v>
      </c>
      <c r="B177" s="1" t="s">
        <v>376</v>
      </c>
      <c r="C177" s="1" t="s">
        <v>377</v>
      </c>
      <c r="D177" s="1" t="s">
        <v>378</v>
      </c>
      <c r="E177" s="1" t="s">
        <v>379</v>
      </c>
    </row>
    <row r="178" spans="1:5" x14ac:dyDescent="0.2">
      <c r="A178" s="2" t="s">
        <v>380</v>
      </c>
    </row>
    <row r="180" spans="1:5" x14ac:dyDescent="0.2">
      <c r="A180" s="4" t="s">
        <v>381</v>
      </c>
    </row>
    <row r="181" spans="1:5" ht="16" thickBot="1" x14ac:dyDescent="0.25">
      <c r="A181" s="11">
        <v>7800</v>
      </c>
      <c r="B181" s="1" t="s">
        <v>382</v>
      </c>
      <c r="C181" s="1" t="s">
        <v>383</v>
      </c>
      <c r="D181" s="1" t="s">
        <v>384</v>
      </c>
      <c r="E181" s="1" t="s">
        <v>434</v>
      </c>
    </row>
    <row r="182" spans="1:5" x14ac:dyDescent="0.2">
      <c r="A182" s="9">
        <v>7810</v>
      </c>
      <c r="B182" s="10" t="s">
        <v>385</v>
      </c>
      <c r="C182" s="10" t="s">
        <v>386</v>
      </c>
      <c r="D182" s="10" t="s">
        <v>393</v>
      </c>
      <c r="E182" s="10" t="s">
        <v>434</v>
      </c>
    </row>
    <row r="183" spans="1:5" x14ac:dyDescent="0.2">
      <c r="A183" s="9">
        <v>7820</v>
      </c>
      <c r="B183" s="10" t="s">
        <v>387</v>
      </c>
      <c r="C183" s="10" t="s">
        <v>388</v>
      </c>
      <c r="D183" s="10" t="s">
        <v>394</v>
      </c>
      <c r="E183" s="10" t="s">
        <v>434</v>
      </c>
    </row>
    <row r="184" spans="1:5" x14ac:dyDescent="0.2">
      <c r="A184" s="9">
        <v>7830</v>
      </c>
      <c r="B184" s="10" t="s">
        <v>389</v>
      </c>
      <c r="C184" s="10" t="s">
        <v>390</v>
      </c>
      <c r="D184" s="10" t="s">
        <v>395</v>
      </c>
      <c r="E184" s="10" t="s">
        <v>434</v>
      </c>
    </row>
    <row r="185" spans="1:5" x14ac:dyDescent="0.2">
      <c r="A185" s="9">
        <v>7840</v>
      </c>
      <c r="B185" s="10" t="s">
        <v>391</v>
      </c>
      <c r="C185" s="10" t="s">
        <v>392</v>
      </c>
      <c r="D185" s="10" t="s">
        <v>396</v>
      </c>
      <c r="E185" s="10" t="s">
        <v>434</v>
      </c>
    </row>
    <row r="187" spans="1:5" x14ac:dyDescent="0.2">
      <c r="A187" s="4" t="s">
        <v>397</v>
      </c>
    </row>
    <row r="188" spans="1:5" x14ac:dyDescent="0.2">
      <c r="A188" s="4" t="s">
        <v>398</v>
      </c>
      <c r="B188" s="4" t="s">
        <v>399</v>
      </c>
    </row>
    <row r="189" spans="1:5" x14ac:dyDescent="0.2">
      <c r="A189" s="4">
        <v>0</v>
      </c>
      <c r="B189" s="16" t="s">
        <v>400</v>
      </c>
    </row>
    <row r="190" spans="1:5" x14ac:dyDescent="0.2">
      <c r="A190" s="4">
        <v>1</v>
      </c>
      <c r="B190" s="16" t="s">
        <v>401</v>
      </c>
    </row>
    <row r="191" spans="1:5" x14ac:dyDescent="0.2">
      <c r="A191" s="4">
        <v>2</v>
      </c>
      <c r="B191" s="16" t="s">
        <v>402</v>
      </c>
    </row>
    <row r="192" spans="1:5" x14ac:dyDescent="0.2">
      <c r="A192" s="4">
        <v>3</v>
      </c>
      <c r="B192" s="5" t="s">
        <v>403</v>
      </c>
    </row>
    <row r="193" spans="1:2" x14ac:dyDescent="0.2">
      <c r="A193" s="4">
        <v>4</v>
      </c>
      <c r="B193" s="16" t="s">
        <v>404</v>
      </c>
    </row>
    <row r="194" spans="1:2" x14ac:dyDescent="0.2">
      <c r="A194" s="4">
        <v>5</v>
      </c>
      <c r="B194" s="16" t="s">
        <v>405</v>
      </c>
    </row>
    <row r="195" spans="1:2" x14ac:dyDescent="0.2">
      <c r="A195" s="4">
        <v>7</v>
      </c>
      <c r="B195" s="16" t="s">
        <v>406</v>
      </c>
    </row>
    <row r="196" spans="1:2" x14ac:dyDescent="0.2">
      <c r="A196" s="4">
        <v>8</v>
      </c>
      <c r="B196" s="16" t="s">
        <v>407</v>
      </c>
    </row>
    <row r="197" spans="1:2" x14ac:dyDescent="0.2">
      <c r="A197" s="4">
        <v>9</v>
      </c>
      <c r="B197" s="16" t="s">
        <v>408</v>
      </c>
    </row>
    <row r="198" spans="1:2" x14ac:dyDescent="0.2">
      <c r="A198" s="4" t="s">
        <v>409</v>
      </c>
    </row>
  </sheetData>
  <mergeCells count="3">
    <mergeCell ref="A3:A4"/>
    <mergeCell ref="C3:C4"/>
    <mergeCell ref="E3:E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05AD-5B9F-2447-9473-BA192A3A1288}">
  <dimension ref="A1:E120"/>
  <sheetViews>
    <sheetView workbookViewId="0">
      <pane ySplit="1" topLeftCell="A2" activePane="bottomLeft" state="frozen"/>
      <selection pane="bottomLeft" activeCell="E120" sqref="E2:E120"/>
    </sheetView>
  </sheetViews>
  <sheetFormatPr baseColWidth="10" defaultColWidth="9.1640625" defaultRowHeight="15" x14ac:dyDescent="0.2"/>
  <cols>
    <col min="1" max="1" width="9.1640625" style="22" bestFit="1" customWidth="1"/>
    <col min="2" max="2" width="11.33203125" style="22" customWidth="1"/>
    <col min="3" max="3" width="73.83203125" style="23" customWidth="1"/>
    <col min="4" max="4" width="100.5" style="23" bestFit="1" customWidth="1"/>
    <col min="5" max="5" width="72" style="23" customWidth="1"/>
    <col min="6" max="16384" width="9.1640625" style="20"/>
  </cols>
  <sheetData>
    <row r="1" spans="1:5" ht="28" x14ac:dyDescent="0.2">
      <c r="A1" s="18" t="s">
        <v>2</v>
      </c>
      <c r="B1" s="18" t="s">
        <v>435</v>
      </c>
      <c r="C1" s="19" t="s">
        <v>436</v>
      </c>
      <c r="D1" s="19" t="s">
        <v>437</v>
      </c>
      <c r="E1" s="19" t="s">
        <v>438</v>
      </c>
    </row>
    <row r="2" spans="1:5" ht="42" x14ac:dyDescent="0.2">
      <c r="A2" s="25">
        <v>1000</v>
      </c>
      <c r="B2" s="21">
        <f>+IF(LEN(A2)=5,RIGHT(A2,4),A2)</f>
        <v>1000</v>
      </c>
      <c r="C2" s="25" t="s">
        <v>8</v>
      </c>
      <c r="D2" s="21" t="str">
        <f>+_xlfn.CONCAT("						{""",B2,""", """,TRIM(C2),"""},")</f>
        <v xml:space="preserve">						{"1000", "Billet which may be filled by any appropriately skilled and experienced Unrestricted Line Officer or Special Duty Officer"},</v>
      </c>
      <c r="E2" s="21" t="str">
        <f>"insert into FTS_officer_billet_codes (suggest_text_1, suggest_text_2, source) values ('"
 &amp; SUBSTITUTE(B2,"'","''") &amp; "','"
 &amp; SUBSTITUTE(TRIM(C2),"'","''") &amp; "','NAVPERS 15839I VOL I (JAN 2026)');"</f>
        <v>insert into FTS_officer_billet_codes (suggest_text_1, suggest_text_2, source) values ('1000','Billet which may be filled by any appropriately skilled and experienced Unrestricted Line Officer or Special Duty Officer','NAVPERS 15839I VOL I (JAN 2026)');</v>
      </c>
    </row>
    <row r="3" spans="1:5" ht="42" x14ac:dyDescent="0.2">
      <c r="A3" s="25">
        <v>1020</v>
      </c>
      <c r="B3" s="21">
        <f t="shared" ref="B3:B47" si="0">+IF(LEN(A3)=5,RIGHT(A3,4),A3)</f>
        <v>1020</v>
      </c>
      <c r="C3" s="25" t="s">
        <v>10</v>
      </c>
      <c r="D3" s="21" t="str">
        <f t="shared" ref="D3:D47" si="1">+_xlfn.CONCAT("						{""",B3,""", """,TRIM(C3),"""},")</f>
        <v xml:space="preserve">						{"1020", "Billet which may be filled by any appropriately skilled and experienced Special Duty Officer (IP) or Unrestricted Line Officer"},</v>
      </c>
      <c r="E3" s="21" t="str">
        <f t="shared" ref="E3:E66" si="2">"insert into FTS_officer_billet_codes (suggest_text_1, suggest_text_2, source) values ('"
 &amp; SUBSTITUTE(B3,"'","''") &amp; "','"
 &amp; SUBSTITUTE(TRIM(C3),"'","''") &amp; "','NAVPERS 15839I VOL I (JAN 2026)');"</f>
        <v>insert into FTS_officer_billet_codes (suggest_text_1, suggest_text_2, source) values ('1020','Billet which may be filled by any appropriately skilled and experienced Special Duty Officer (IP) or Unrestricted Line Officer','NAVPERS 15839I VOL I (JAN 2026)');</v>
      </c>
    </row>
    <row r="4" spans="1:5" ht="42" x14ac:dyDescent="0.2">
      <c r="A4" s="25">
        <v>1050</v>
      </c>
      <c r="B4" s="21">
        <f t="shared" si="0"/>
        <v>1050</v>
      </c>
      <c r="C4" s="25" t="s">
        <v>12</v>
      </c>
      <c r="D4" s="21" t="str">
        <f t="shared" si="1"/>
        <v xml:space="preserve">						{"1050", "Unrestricted Line Officer billet requiring an officer qualified in any one of the warfare specialties (LT and above)"},</v>
      </c>
      <c r="E4" s="21" t="str">
        <f t="shared" si="2"/>
        <v>insert into FTS_officer_billet_codes (suggest_text_1, suggest_text_2, source) values ('1050','Unrestricted Line Officer billet requiring an officer qualified in any one of the warfare specialties (LT and above)','NAVPERS 15839I VOL I (JAN 2026)');</v>
      </c>
    </row>
    <row r="5" spans="1:5" ht="42" x14ac:dyDescent="0.2">
      <c r="A5" s="25">
        <v>1100</v>
      </c>
      <c r="B5" s="21">
        <f t="shared" si="0"/>
        <v>1100</v>
      </c>
      <c r="C5" s="25" t="s">
        <v>13</v>
      </c>
      <c r="D5" s="21" t="str">
        <f t="shared" si="1"/>
        <v xml:space="preserve">						{"1100", "Unrestricted Line Officer billet requiring Fleet Support specialty"},</v>
      </c>
      <c r="E5" s="21" t="str">
        <f t="shared" si="2"/>
        <v>insert into FTS_officer_billet_codes (suggest_text_1, suggest_text_2, source) values ('1100','Unrestricted Line Officer billet requiring Fleet Support specialty','NAVPERS 15839I VOL I (JAN 2026)');</v>
      </c>
    </row>
    <row r="6" spans="1:5" ht="42" x14ac:dyDescent="0.2">
      <c r="A6" s="25">
        <v>1110</v>
      </c>
      <c r="B6" s="21">
        <f t="shared" si="0"/>
        <v>1110</v>
      </c>
      <c r="C6" s="25" t="s">
        <v>16</v>
      </c>
      <c r="D6" s="21" t="str">
        <f t="shared" si="1"/>
        <v xml:space="preserve">						{"1110", "Unrestricted Line Officer billet requiring Surface Warfare qualification or afloat billets leading to such qualification"},</v>
      </c>
      <c r="E6" s="21" t="str">
        <f t="shared" si="2"/>
        <v>insert into FTS_officer_billet_codes (suggest_text_1, suggest_text_2, source) values ('1110','Unrestricted Line Officer billet requiring Surface Warfare qualification or afloat billets leading to such qualification','NAVPERS 15839I VOL I (JAN 2026)');</v>
      </c>
    </row>
    <row r="7" spans="1:5" ht="42" x14ac:dyDescent="0.2">
      <c r="A7" s="25">
        <v>1120</v>
      </c>
      <c r="B7" s="21">
        <f t="shared" si="0"/>
        <v>1120</v>
      </c>
      <c r="C7" s="25" t="s">
        <v>19</v>
      </c>
      <c r="D7" s="21" t="str">
        <f t="shared" si="1"/>
        <v xml:space="preserve">						{"1120", "Unrestricted Line Officer billet requiring Submarine Warfare qualification or afloat billets leading to such qualification"},</v>
      </c>
      <c r="E7" s="21" t="str">
        <f t="shared" si="2"/>
        <v>insert into FTS_officer_billet_codes (suggest_text_1, suggest_text_2, source) values ('1120','Unrestricted Line Officer billet requiring Submarine Warfare qualification or afloat billets leading to such qualification','NAVPERS 15839I VOL I (JAN 2026)');</v>
      </c>
    </row>
    <row r="8" spans="1:5" ht="42" x14ac:dyDescent="0.2">
      <c r="A8" s="25">
        <v>1130</v>
      </c>
      <c r="B8" s="21">
        <f t="shared" si="0"/>
        <v>1130</v>
      </c>
      <c r="C8" s="25" t="s">
        <v>22</v>
      </c>
      <c r="D8" s="21" t="str">
        <f t="shared" si="1"/>
        <v xml:space="preserve">						{"1130", "Unrestricted Line Officer billet requiring Special Warfare (SEAL) qualification"},</v>
      </c>
      <c r="E8" s="21" t="str">
        <f t="shared" si="2"/>
        <v>insert into FTS_officer_billet_codes (suggest_text_1, suggest_text_2, source) values ('1130','Unrestricted Line Officer billet requiring Special Warfare (SEAL) qualification','NAVPERS 15839I VOL I (JAN 2026)');</v>
      </c>
    </row>
    <row r="9" spans="1:5" ht="42" x14ac:dyDescent="0.2">
      <c r="A9" s="25">
        <v>1140</v>
      </c>
      <c r="B9" s="21">
        <f t="shared" si="0"/>
        <v>1140</v>
      </c>
      <c r="C9" s="25" t="s">
        <v>25</v>
      </c>
      <c r="D9" s="21" t="str">
        <f t="shared" si="1"/>
        <v xml:space="preserve">						{"1140", "Unrestricted Line Officer billet requiring Explosive Ordnance Disposal (EOD) Warfare Qualification"},</v>
      </c>
      <c r="E9" s="21" t="str">
        <f t="shared" si="2"/>
        <v>insert into FTS_officer_billet_codes (suggest_text_1, suggest_text_2, source) values ('1140','Unrestricted Line Officer billet requiring Explosive Ordnance Disposal (EOD) Warfare Qualification','NAVPERS 15839I VOL I (JAN 2026)');</v>
      </c>
    </row>
    <row r="10" spans="1:5" ht="42" x14ac:dyDescent="0.2">
      <c r="A10" s="25">
        <v>1160</v>
      </c>
      <c r="B10" s="21">
        <f t="shared" si="0"/>
        <v>1160</v>
      </c>
      <c r="C10" s="25" t="s">
        <v>28</v>
      </c>
      <c r="D10" s="21" t="str">
        <f t="shared" si="1"/>
        <v xml:space="preserve">						{"1160", "Unrestricted Line Officer billet for an officer in training for Surface Warfare qualification"},</v>
      </c>
      <c r="E10" s="21" t="str">
        <f t="shared" si="2"/>
        <v>insert into FTS_officer_billet_codes (suggest_text_1, suggest_text_2, source) values ('1160','Unrestricted Line Officer billet for an officer in training for Surface Warfare qualification','NAVPERS 15839I VOL I (JAN 2026)');</v>
      </c>
    </row>
    <row r="11" spans="1:5" ht="42" x14ac:dyDescent="0.2">
      <c r="A11" s="25">
        <v>1170</v>
      </c>
      <c r="B11" s="21">
        <f t="shared" si="0"/>
        <v>1170</v>
      </c>
      <c r="C11" s="25" t="s">
        <v>31</v>
      </c>
      <c r="D11" s="21" t="str">
        <f t="shared" si="1"/>
        <v xml:space="preserve">						{"1170", "Unrestricted Line Officer billet for an officer in training for Submarine Warfare qualification"},</v>
      </c>
      <c r="E11" s="21" t="str">
        <f t="shared" si="2"/>
        <v>insert into FTS_officer_billet_codes (suggest_text_1, suggest_text_2, source) values ('1170','Unrestricted Line Officer billet for an officer in training for Submarine Warfare qualification','NAVPERS 15839I VOL I (JAN 2026)');</v>
      </c>
    </row>
    <row r="12" spans="1:5" ht="42" x14ac:dyDescent="0.2">
      <c r="A12" s="25">
        <v>1180</v>
      </c>
      <c r="B12" s="21">
        <f t="shared" si="0"/>
        <v>1180</v>
      </c>
      <c r="C12" s="25" t="s">
        <v>34</v>
      </c>
      <c r="D12" s="21" t="str">
        <f t="shared" si="1"/>
        <v xml:space="preserve">						{"1180", "Unrestricted Line Officer billet for a student in training for Special Warfare qualification"},</v>
      </c>
      <c r="E12" s="21" t="str">
        <f t="shared" si="2"/>
        <v>insert into FTS_officer_billet_codes (suggest_text_1, suggest_text_2, source) values ('1180','Unrestricted Line Officer billet for a student in training for Special Warfare qualification','NAVPERS 15839I VOL I (JAN 2026)');</v>
      </c>
    </row>
    <row r="13" spans="1:5" ht="42" x14ac:dyDescent="0.2">
      <c r="A13" s="25">
        <v>1190</v>
      </c>
      <c r="B13" s="21">
        <f t="shared" si="0"/>
        <v>1190</v>
      </c>
      <c r="C13" s="25" t="s">
        <v>37</v>
      </c>
      <c r="D13" s="21" t="str">
        <f t="shared" si="1"/>
        <v xml:space="preserve">						{"1190", "Unrestricted Line Officer billet for an officer in training for Explosive Ordnance Disposal (EOD) qualification"},</v>
      </c>
      <c r="E13" s="21" t="str">
        <f t="shared" si="2"/>
        <v>insert into FTS_officer_billet_codes (suggest_text_1, suggest_text_2, source) values ('1190','Unrestricted Line Officer billet for an officer in training for Explosive Ordnance Disposal (EOD) qualification','NAVPERS 15839I VOL I (JAN 2026)');</v>
      </c>
    </row>
    <row r="14" spans="1:5" ht="42" x14ac:dyDescent="0.2">
      <c r="A14" s="25">
        <v>1200</v>
      </c>
      <c r="B14" s="21">
        <f t="shared" si="0"/>
        <v>1200</v>
      </c>
      <c r="C14" s="25" t="s">
        <v>45</v>
      </c>
      <c r="D14" s="21" t="str">
        <f t="shared" si="1"/>
        <v xml:space="preserve">						{"1200", "Special Duty Officer - Restricted Line Officer Billet requiring Human Resources specialty - Plan, program, and execute life-cycle management of our Navy's most important resource - people."},</v>
      </c>
      <c r="E14" s="21" t="str">
        <f t="shared" si="2"/>
        <v>insert into FTS_officer_billet_codes (suggest_text_1, suggest_text_2, source) values ('1200','Special Duty Officer - Restricted Line Officer Billet requiring Human Resources specialty - Plan, program, and execute life-cycle management of our Navy''s most important resource - people.','NAVPERS 15839I VOL I (JAN 2026)');</v>
      </c>
    </row>
    <row r="15" spans="1:5" ht="42" x14ac:dyDescent="0.2">
      <c r="A15" s="25">
        <v>1210</v>
      </c>
      <c r="B15" s="21">
        <f t="shared" si="0"/>
        <v>1210</v>
      </c>
      <c r="C15" s="25" t="s">
        <v>47</v>
      </c>
      <c r="D15" s="21" t="str">
        <f t="shared" si="1"/>
        <v xml:space="preserve">						{"1210", "Restricted Line Officer Billet (Nuclear Power School Instructor) regulated by Program Authorization 100B attached to Nuclear Power School, Charleston, SC."},</v>
      </c>
      <c r="E15" s="21" t="str">
        <f t="shared" si="2"/>
        <v>insert into FTS_officer_billet_codes (suggest_text_1, suggest_text_2, source) values ('1210','Restricted Line Officer Billet (Nuclear Power School Instructor) regulated by Program Authorization 100B attached to Nuclear Power School, Charleston, SC.','NAVPERS 15839I VOL I (JAN 2026)');</v>
      </c>
    </row>
    <row r="16" spans="1:5" ht="42" x14ac:dyDescent="0.2">
      <c r="A16" s="25">
        <v>1230</v>
      </c>
      <c r="B16" s="21">
        <f t="shared" si="0"/>
        <v>1230</v>
      </c>
      <c r="C16" s="25" t="s">
        <v>51</v>
      </c>
      <c r="D16" s="21" t="str">
        <f t="shared" si="1"/>
        <v xml:space="preserve">						{"1230", "Restricted Line Officer Billet (Permanent Military Professor) regulated by OPNAVINST 1520.40"},</v>
      </c>
      <c r="E16" s="21" t="str">
        <f t="shared" si="2"/>
        <v>insert into FTS_officer_billet_codes (suggest_text_1, suggest_text_2, source) values ('1230','Restricted Line Officer Billet (Permanent Military Professor) regulated by OPNAVINST 1520.40','NAVPERS 15839I VOL I (JAN 2026)');</v>
      </c>
    </row>
    <row r="17" spans="1:5" ht="42" x14ac:dyDescent="0.2">
      <c r="A17" s="25">
        <v>1280</v>
      </c>
      <c r="B17" s="21">
        <f t="shared" si="0"/>
        <v>1280</v>
      </c>
      <c r="C17" s="25" t="s">
        <v>53</v>
      </c>
      <c r="D17" s="21" t="str">
        <f t="shared" si="1"/>
        <v xml:space="preserve">						{"1280", "Special Duty Officer-Restricted Line Officer Billet Requiring Recruiting Specialty of a permanent Recruiter (LT and LCDR)"},</v>
      </c>
      <c r="E17" s="21" t="str">
        <f t="shared" si="2"/>
        <v>insert into FTS_officer_billet_codes (suggest_text_1, suggest_text_2, source) values ('1280','Special Duty Officer-Restricted Line Officer Billet Requiring Recruiting Specialty of a permanent Recruiter (LT and LCDR)','NAVPERS 15839I VOL I (JAN 2026)');</v>
      </c>
    </row>
    <row r="18" spans="1:5" ht="42" x14ac:dyDescent="0.2">
      <c r="A18" s="25" t="s">
        <v>59</v>
      </c>
      <c r="B18" s="21" t="str">
        <f t="shared" si="0"/>
        <v>1300</v>
      </c>
      <c r="C18" s="25" t="s">
        <v>60</v>
      </c>
      <c r="D18" s="21" t="str">
        <f t="shared" si="1"/>
        <v xml:space="preserve">						{"1300", "Unrestricted Line Officer billet, Code 0 - Other Than Operational Flying, requiring Air Warfare specialty of, or previous designation as, a pilot or NFO (LT and above)"},</v>
      </c>
      <c r="E18" s="21" t="str">
        <f t="shared" si="2"/>
        <v>insert into FTS_officer_billet_codes (suggest_text_1, suggest_text_2, source) values ('1300','Unrestricted Line Officer billet, Code 0 - Other Than Operational Flying, requiring Air Warfare specialty of, or previous designation as, a pilot or NFO (LT and above)','NAVPERS 15839I VOL I (JAN 2026)');</v>
      </c>
    </row>
    <row r="19" spans="1:5" ht="42" x14ac:dyDescent="0.2">
      <c r="A19" s="25" t="s">
        <v>63</v>
      </c>
      <c r="B19" s="21" t="str">
        <f t="shared" si="0"/>
        <v>1301</v>
      </c>
      <c r="C19" s="25" t="s">
        <v>64</v>
      </c>
      <c r="D19" s="21" t="str">
        <f t="shared" si="1"/>
        <v xml:space="preserve">						{"1301", "Unrestricted Line Officer billet, Code 1 - Operational Flying, requiring Air Warfare specialty of a pilot or NFO (LT and above)"},</v>
      </c>
      <c r="E19" s="21" t="str">
        <f t="shared" si="2"/>
        <v>insert into FTS_officer_billet_codes (suggest_text_1, suggest_text_2, source) values ('1301','Unrestricted Line Officer billet, Code 1 - Operational Flying, requiring Air Warfare specialty of a pilot or NFO (LT and above)','NAVPERS 15839I VOL I (JAN 2026)');</v>
      </c>
    </row>
    <row r="20" spans="1:5" ht="42" x14ac:dyDescent="0.2">
      <c r="A20" s="25" t="s">
        <v>65</v>
      </c>
      <c r="B20" s="21" t="str">
        <f t="shared" si="0"/>
        <v>1302</v>
      </c>
      <c r="C20" s="25" t="s">
        <v>66</v>
      </c>
      <c r="D20" s="21" t="str">
        <f t="shared" si="1"/>
        <v xml:space="preserve">						{"1302", "Unrestricted Line Officer billet, Code 2 - Operational Flying, requiring Air Warfare specialty of a pilot or NFO"},</v>
      </c>
      <c r="E20" s="21" t="str">
        <f t="shared" si="2"/>
        <v>insert into FTS_officer_billet_codes (suggest_text_1, suggest_text_2, source) values ('1302','Unrestricted Line Officer billet, Code 2 - Operational Flying, requiring Air Warfare specialty of a pilot or NFO','NAVPERS 15839I VOL I (JAN 2026)');</v>
      </c>
    </row>
    <row r="21" spans="1:5" ht="42" x14ac:dyDescent="0.2">
      <c r="A21" s="25" t="s">
        <v>67</v>
      </c>
      <c r="B21" s="21" t="str">
        <f t="shared" si="0"/>
        <v>1310</v>
      </c>
      <c r="C21" s="25" t="s">
        <v>68</v>
      </c>
      <c r="D21" s="21" t="str">
        <f t="shared" si="1"/>
        <v xml:space="preserve">						{"1310", "Unrestricted Line Officer billet, Code 0 - Other Than Operational Flying, requiring Aviation Warfare specialty of a pilot"},</v>
      </c>
      <c r="E21" s="21" t="str">
        <f t="shared" si="2"/>
        <v>insert into FTS_officer_billet_codes (suggest_text_1, suggest_text_2, source) values ('1310','Unrestricted Line Officer billet, Code 0 - Other Than Operational Flying, requiring Aviation Warfare specialty of a pilot','NAVPERS 15839I VOL I (JAN 2026)');</v>
      </c>
    </row>
    <row r="22" spans="1:5" ht="42" x14ac:dyDescent="0.2">
      <c r="A22" s="25" t="s">
        <v>71</v>
      </c>
      <c r="B22" s="21" t="str">
        <f t="shared" si="0"/>
        <v>1311</v>
      </c>
      <c r="C22" s="25" t="s">
        <v>72</v>
      </c>
      <c r="D22" s="21" t="str">
        <f t="shared" si="1"/>
        <v xml:space="preserve">						{"1311", "Unrestricted Line Officer billet, Code 1 - Operational Flying, requiring Aviation Warfare specialty of a pilot"},</v>
      </c>
      <c r="E22" s="21" t="str">
        <f t="shared" si="2"/>
        <v>insert into FTS_officer_billet_codes (suggest_text_1, suggest_text_2, source) values ('1311','Unrestricted Line Officer billet, Code 1 - Operational Flying, requiring Aviation Warfare specialty of a pilot','NAVPERS 15839I VOL I (JAN 2026)');</v>
      </c>
    </row>
    <row r="23" spans="1:5" ht="42" x14ac:dyDescent="0.2">
      <c r="A23" s="25" t="s">
        <v>74</v>
      </c>
      <c r="B23" s="21" t="str">
        <f t="shared" si="0"/>
        <v>1312</v>
      </c>
      <c r="C23" s="25" t="s">
        <v>75</v>
      </c>
      <c r="D23" s="21" t="str">
        <f t="shared" si="1"/>
        <v xml:space="preserve">						{"1312", "Unrestricted Line Officer billet, Code 2 - Operational Flying, requiring Aviation Warfare specialty of a pilot"},</v>
      </c>
      <c r="E23" s="21" t="str">
        <f t="shared" si="2"/>
        <v>insert into FTS_officer_billet_codes (suggest_text_1, suggest_text_2, source) values ('1312','Unrestricted Line Officer billet, Code 2 - Operational Flying, requiring Aviation Warfare specialty of a pilot','NAVPERS 15839I VOL I (JAN 2026)');</v>
      </c>
    </row>
    <row r="24" spans="1:5" ht="42" x14ac:dyDescent="0.2">
      <c r="A24" s="25" t="s">
        <v>76</v>
      </c>
      <c r="B24" s="21" t="str">
        <f t="shared" si="0"/>
        <v>1320</v>
      </c>
      <c r="C24" s="25" t="s">
        <v>77</v>
      </c>
      <c r="D24" s="21" t="str">
        <f t="shared" si="1"/>
        <v xml:space="preserve">						{"1320", "Unrestricted Line Officer billet, Code 0 - Other Than Operational Flying, requiring Aviation Warfare specialty of a Naval Flight Officer"},</v>
      </c>
      <c r="E24" s="21" t="str">
        <f t="shared" si="2"/>
        <v>insert into FTS_officer_billet_codes (suggest_text_1, suggest_text_2, source) values ('1320','Unrestricted Line Officer billet, Code 0 - Other Than Operational Flying, requiring Aviation Warfare specialty of a Naval Flight Officer','NAVPERS 15839I VOL I (JAN 2026)');</v>
      </c>
    </row>
    <row r="25" spans="1:5" ht="42" x14ac:dyDescent="0.2">
      <c r="A25" s="25" t="s">
        <v>80</v>
      </c>
      <c r="B25" s="21" t="str">
        <f t="shared" si="0"/>
        <v>1321</v>
      </c>
      <c r="C25" s="25" t="s">
        <v>81</v>
      </c>
      <c r="D25" s="21" t="str">
        <f t="shared" si="1"/>
        <v xml:space="preserve">						{"1321", "Unrestricted Line Officer billet, Code 1 - Operational Flying, requiring Aviation Warfare specialty of a Naval Flight Officer"},</v>
      </c>
      <c r="E25" s="21" t="str">
        <f t="shared" si="2"/>
        <v>insert into FTS_officer_billet_codes (suggest_text_1, suggest_text_2, source) values ('1321','Unrestricted Line Officer billet, Code 1 - Operational Flying, requiring Aviation Warfare specialty of a Naval Flight Officer','NAVPERS 15839I VOL I (JAN 2026)');</v>
      </c>
    </row>
    <row r="26" spans="1:5" ht="42" x14ac:dyDescent="0.2">
      <c r="A26" s="25" t="s">
        <v>82</v>
      </c>
      <c r="B26" s="21" t="str">
        <f t="shared" si="0"/>
        <v>1322</v>
      </c>
      <c r="C26" s="25" t="s">
        <v>83</v>
      </c>
      <c r="D26" s="21" t="str">
        <f t="shared" si="1"/>
        <v xml:space="preserve">						{"1322", "Unrestricted Line Officer billet, Code 2 - Operational Flying, requiring Aviation Warfare specialty of a Naval Flight Officer"},</v>
      </c>
      <c r="E26" s="21" t="str">
        <f t="shared" si="2"/>
        <v>insert into FTS_officer_billet_codes (suggest_text_1, suggest_text_2, source) values ('1322','Unrestricted Line Officer billet, Code 2 - Operational Flying, requiring Aviation Warfare specialty of a Naval Flight Officer','NAVPERS 15839I VOL I (JAN 2026)');</v>
      </c>
    </row>
    <row r="27" spans="1:5" ht="42" x14ac:dyDescent="0.2">
      <c r="A27" s="25" t="s">
        <v>84</v>
      </c>
      <c r="B27" s="21" t="str">
        <f t="shared" si="0"/>
        <v>1372</v>
      </c>
      <c r="C27" s="25" t="s">
        <v>85</v>
      </c>
      <c r="D27" s="21" t="str">
        <f t="shared" si="1"/>
        <v xml:space="preserve">						{"1372", "Unrestricted Line Officer billet, Code 2 - Operational Flying, for a student in training for Aviation Warfare (NFO) qualification"},</v>
      </c>
      <c r="E27" s="21" t="str">
        <f t="shared" si="2"/>
        <v>insert into FTS_officer_billet_codes (suggest_text_1, suggest_text_2, source) values ('1372','Unrestricted Line Officer billet, Code 2 - Operational Flying, for a student in training for Aviation Warfare (NFO) qualification','NAVPERS 15839I VOL I (JAN 2026)');</v>
      </c>
    </row>
    <row r="28" spans="1:5" ht="42" x14ac:dyDescent="0.2">
      <c r="A28" s="25" t="s">
        <v>88</v>
      </c>
      <c r="B28" s="21" t="str">
        <f t="shared" si="0"/>
        <v>1392</v>
      </c>
      <c r="C28" s="25" t="s">
        <v>89</v>
      </c>
      <c r="D28" s="21" t="str">
        <f t="shared" si="1"/>
        <v xml:space="preserve">						{"1392", "Unrestricted Line Officer billet, Code 2 - Operational Flying, for a student in training for Aviation Warfare (pilot) qualification"},</v>
      </c>
      <c r="E28" s="21" t="str">
        <f t="shared" si="2"/>
        <v>insert into FTS_officer_billet_codes (suggest_text_1, suggest_text_2, source) values ('1392','Unrestricted Line Officer billet, Code 2 - Operational Flying, for a student in training for Aviation Warfare (pilot) qualification','NAVPERS 15839I VOL I (JAN 2026)');</v>
      </c>
    </row>
    <row r="29" spans="1:5" ht="42" x14ac:dyDescent="0.2">
      <c r="A29" s="25">
        <v>1440</v>
      </c>
      <c r="B29" s="21">
        <f t="shared" si="0"/>
        <v>1440</v>
      </c>
      <c r="C29" s="25" t="s">
        <v>439</v>
      </c>
      <c r="D29" s="21" t="str">
        <f t="shared" si="1"/>
        <v xml:space="preserve">						{"1440", "Engineering Duty Officer billet requiring specialists in Ship Engineering, including Ship and Ship Systems Engineering, Electronic Systems Engineering, Combat/Weapons Systems Engineering, and Ordnance Systems Engineering."},</v>
      </c>
      <c r="E29" s="21" t="str">
        <f t="shared" si="2"/>
        <v>insert into FTS_officer_billet_codes (suggest_text_1, suggest_text_2, source) values ('1440','Engineering Duty Officer billet requiring specialists in Ship Engineering, including Ship and Ship Systems Engineering, Electronic Systems Engineering, Combat/Weapons Systems Engineering, and Ordnance Systems Engineering.','NAVPERS 15839I VOL I (JAN 2026)');</v>
      </c>
    </row>
    <row r="30" spans="1:5" ht="42" x14ac:dyDescent="0.2">
      <c r="A30" s="25">
        <v>1460</v>
      </c>
      <c r="B30" s="21">
        <f t="shared" si="0"/>
        <v>1460</v>
      </c>
      <c r="C30" s="25" t="s">
        <v>98</v>
      </c>
      <c r="D30" s="21" t="str">
        <f t="shared" si="1"/>
        <v xml:space="preserve">						{"1460", "Engineering Duty Officer billet for an officer actively pursuing a prescribed program leading to designation as 144X"},</v>
      </c>
      <c r="E30" s="21" t="str">
        <f t="shared" si="2"/>
        <v>insert into FTS_officer_billet_codes (suggest_text_1, suggest_text_2, source) values ('1460','Engineering Duty Officer billet for an officer actively pursuing a prescribed program leading to designation as 144X','NAVPERS 15839I VOL I (JAN 2026)');</v>
      </c>
    </row>
    <row r="31" spans="1:5" ht="42" x14ac:dyDescent="0.2">
      <c r="A31" s="25">
        <v>1500</v>
      </c>
      <c r="B31" s="21">
        <f t="shared" si="0"/>
        <v>1500</v>
      </c>
      <c r="C31" s="25" t="s">
        <v>105</v>
      </c>
      <c r="D31" s="21" t="str">
        <f t="shared" si="1"/>
        <v xml:space="preserve">						{"1500", "Aerospace Engineering Duty Officer billet requiring Aerospace Engineering (AED) or Aerospace maintenance (AMD) specialties (CAPT and above)"},</v>
      </c>
      <c r="E31" s="21" t="str">
        <f t="shared" si="2"/>
        <v>insert into FTS_officer_billet_codes (suggest_text_1, suggest_text_2, source) values ('1500','Aerospace Engineering Duty Officer billet requiring Aerospace Engineering (AED) or Aerospace maintenance (AMD) specialties (CAPT and above)','NAVPERS 15839I VOL I (JAN 2026)');</v>
      </c>
    </row>
    <row r="32" spans="1:5" ht="42" x14ac:dyDescent="0.2">
      <c r="A32" s="25">
        <v>1510</v>
      </c>
      <c r="B32" s="21">
        <f t="shared" si="0"/>
        <v>1510</v>
      </c>
      <c r="C32" s="25" t="s">
        <v>443</v>
      </c>
      <c r="D32" s="21" t="str">
        <f t="shared" si="1"/>
        <v xml:space="preserve">						{"1510", "Aerospace Engineering Duty Officer billet requiring Aerospace Engineering (AED) specialty."},</v>
      </c>
      <c r="E32" s="21" t="str">
        <f t="shared" si="2"/>
        <v>insert into FTS_officer_billet_codes (suggest_text_1, suggest_text_2, source) values ('1510','Aerospace Engineering Duty Officer billet requiring Aerospace Engineering (AED) specialty.','NAVPERS 15839I VOL I (JAN 2026)');</v>
      </c>
    </row>
    <row r="33" spans="1:5" ht="42" x14ac:dyDescent="0.2">
      <c r="A33" s="25" t="s">
        <v>111</v>
      </c>
      <c r="B33" s="21" t="str">
        <f t="shared" si="0"/>
        <v>1511</v>
      </c>
      <c r="C33" s="25" t="s">
        <v>444</v>
      </c>
      <c r="D33" s="21" t="str">
        <f t="shared" si="1"/>
        <v xml:space="preserve">						{"1511", "Aerospace Engineering Duty Officer billet, Code 1 - Operational Flying, requiring the specialty of an Aerospace Engineering Duty (AED) officer who is a designated Pilot or Naval Flight Officer."},</v>
      </c>
      <c r="E33" s="21" t="str">
        <f t="shared" si="2"/>
        <v>insert into FTS_officer_billet_codes (suggest_text_1, suggest_text_2, source) values ('1511','Aerospace Engineering Duty Officer billet, Code 1 - Operational Flying, requiring the specialty of an Aerospace Engineering Duty (AED) officer who is a designated Pilot or Naval Flight Officer.','NAVPERS 15839I VOL I (JAN 2026)');</v>
      </c>
    </row>
    <row r="34" spans="1:5" ht="42" x14ac:dyDescent="0.2">
      <c r="A34" s="25" t="s">
        <v>112</v>
      </c>
      <c r="B34" s="21" t="str">
        <f t="shared" si="0"/>
        <v>1512</v>
      </c>
      <c r="C34" s="25" t="s">
        <v>445</v>
      </c>
      <c r="D34" s="21" t="str">
        <f t="shared" si="1"/>
        <v xml:space="preserve">						{"1512", "Aerospace Engineering Duty Officer billet, Code 2 - Operational Flying, requiring the specialty of an Aerospace Engineering Duty (AED) Officer who is a designated Pilot or Naval Flight Officer."},</v>
      </c>
      <c r="E34" s="21" t="str">
        <f t="shared" si="2"/>
        <v>insert into FTS_officer_billet_codes (suggest_text_1, suggest_text_2, source) values ('1512','Aerospace Engineering Duty Officer billet, Code 2 - Operational Flying, requiring the specialty of an Aerospace Engineering Duty (AED) Officer who is a designated Pilot or Naval Flight Officer.','NAVPERS 15839I VOL I (JAN 2026)');</v>
      </c>
    </row>
    <row r="35" spans="1:5" ht="42" x14ac:dyDescent="0.2">
      <c r="A35" s="25" t="s">
        <v>113</v>
      </c>
      <c r="B35" s="21" t="str">
        <f t="shared" si="0"/>
        <v>1540</v>
      </c>
      <c r="C35" s="25" t="s">
        <v>114</v>
      </c>
      <c r="D35" s="21" t="str">
        <f t="shared" si="1"/>
        <v xml:space="preserve">						{"1540", "Aviation Duty Officer billet, Code 0 - Other Than Operational Flying, requiring Aviation Warfare specialty of a pilot (LT thru CAPT)"},</v>
      </c>
      <c r="E35" s="21" t="str">
        <f t="shared" si="2"/>
        <v>insert into FTS_officer_billet_codes (suggest_text_1, suggest_text_2, source) values ('1540','Aviation Duty Officer billet, Code 0 - Other Than Operational Flying, requiring Aviation Warfare specialty of a pilot (LT thru CAPT)','NAVPERS 15839I VOL I (JAN 2026)');</v>
      </c>
    </row>
    <row r="36" spans="1:5" ht="42" x14ac:dyDescent="0.2">
      <c r="A36" s="25" t="s">
        <v>117</v>
      </c>
      <c r="B36" s="21" t="str">
        <f t="shared" si="0"/>
        <v>1541</v>
      </c>
      <c r="C36" s="25" t="s">
        <v>118</v>
      </c>
      <c r="D36" s="21" t="str">
        <f t="shared" si="1"/>
        <v xml:space="preserve">						{"1541", "Aviation Duty Officer billet, Code 1 - Operational Flying, requiring Aviation Warfare specialty of a pilot (LT thru CAPT)"},</v>
      </c>
      <c r="E36" s="21" t="str">
        <f t="shared" si="2"/>
        <v>insert into FTS_officer_billet_codes (suggest_text_1, suggest_text_2, source) values ('1541','Aviation Duty Officer billet, Code 1 - Operational Flying, requiring Aviation Warfare specialty of a pilot (LT thru CAPT)','NAVPERS 15839I VOL I (JAN 2026)');</v>
      </c>
    </row>
    <row r="37" spans="1:5" ht="42" x14ac:dyDescent="0.2">
      <c r="A37" s="25" t="s">
        <v>119</v>
      </c>
      <c r="B37" s="21" t="str">
        <f t="shared" si="0"/>
        <v>1542</v>
      </c>
      <c r="C37" s="25" t="s">
        <v>120</v>
      </c>
      <c r="D37" s="21" t="str">
        <f t="shared" si="1"/>
        <v xml:space="preserve">						{"1542", "Aviation Duty Officer billet, Code 2 - Operational Flying, requiring Aviation Warfare specialty of a pilot (LT thru CAPT)"},</v>
      </c>
      <c r="E37" s="21" t="str">
        <f t="shared" si="2"/>
        <v>insert into FTS_officer_billet_codes (suggest_text_1, suggest_text_2, source) values ('1542','Aviation Duty Officer billet, Code 2 - Operational Flying, requiring Aviation Warfare specialty of a pilot (LT thru CAPT)','NAVPERS 15839I VOL I (JAN 2026)');</v>
      </c>
    </row>
    <row r="38" spans="1:5" ht="42" x14ac:dyDescent="0.2">
      <c r="A38" s="25">
        <v>1650</v>
      </c>
      <c r="B38" s="21">
        <f t="shared" si="0"/>
        <v>1650</v>
      </c>
      <c r="C38" s="25" t="s">
        <v>126</v>
      </c>
      <c r="D38" s="21" t="str">
        <f t="shared" si="1"/>
        <v xml:space="preserve">						{"1650", "Special Duty Officer billet requiring Public Affairs specialty"},</v>
      </c>
      <c r="E38" s="21" t="str">
        <f t="shared" si="2"/>
        <v>insert into FTS_officer_billet_codes (suggest_text_1, suggest_text_2, source) values ('1650','Special Duty Officer billet requiring Public Affairs specialty','NAVPERS 15839I VOL I (JAN 2026)');</v>
      </c>
    </row>
    <row r="39" spans="1:5" ht="42" x14ac:dyDescent="0.2">
      <c r="A39" s="25">
        <v>1660</v>
      </c>
      <c r="B39" s="21">
        <f t="shared" si="0"/>
        <v>1660</v>
      </c>
      <c r="C39" s="25" t="s">
        <v>130</v>
      </c>
      <c r="D39" s="21" t="str">
        <f t="shared" si="1"/>
        <v xml:space="preserve">						{"1660", "Special Duty Officer billet requiring a Strategic Sealift Officer"},</v>
      </c>
      <c r="E39" s="21" t="str">
        <f t="shared" si="2"/>
        <v>insert into FTS_officer_billet_codes (suggest_text_1, suggest_text_2, source) values ('1660','Special Duty Officer billet requiring a Strategic Sealift Officer','NAVPERS 15839I VOL I (JAN 2026)');</v>
      </c>
    </row>
    <row r="40" spans="1:5" ht="42" x14ac:dyDescent="0.2">
      <c r="A40" s="25">
        <v>1710</v>
      </c>
      <c r="B40" s="21">
        <f t="shared" si="0"/>
        <v>1710</v>
      </c>
      <c r="C40" s="25" t="s">
        <v>138</v>
      </c>
      <c r="D40" s="21" t="str">
        <f t="shared" si="1"/>
        <v xml:space="preserve">						{"1710", "Special Duty Officer billet requiring a qualified Foreign Area Officer or a Foreign Area Officer Under Instruction"},</v>
      </c>
      <c r="E40" s="21" t="str">
        <f t="shared" si="2"/>
        <v>insert into FTS_officer_billet_codes (suggest_text_1, suggest_text_2, source) values ('1710','Special Duty Officer billet requiring a qualified Foreign Area Officer or a Foreign Area Officer Under Instruction','NAVPERS 15839I VOL I (JAN 2026)');</v>
      </c>
    </row>
    <row r="41" spans="1:5" ht="42" x14ac:dyDescent="0.2">
      <c r="A41" s="25">
        <v>1712</v>
      </c>
      <c r="B41" s="21">
        <f t="shared" si="0"/>
        <v>1712</v>
      </c>
      <c r="C41" s="25" t="s">
        <v>142</v>
      </c>
      <c r="D41" s="21" t="str">
        <f t="shared" si="1"/>
        <v xml:space="preserve">						{"1712", "Special Duty Officer billet requiring a Foreign Area Officer Code 2 – Operational Flying Involved, a qualified Foreign Area Officer or a Foreign Area Officer Under Instruction"},</v>
      </c>
      <c r="E41" s="21" t="str">
        <f t="shared" si="2"/>
        <v>insert into FTS_officer_billet_codes (suggest_text_1, suggest_text_2, source) values ('1712','Special Duty Officer billet requiring a Foreign Area Officer Code 2 – Operational Flying Involved, a qualified Foreign Area Officer or a Foreign Area Officer Under Instruction','NAVPERS 15839I VOL I (JAN 2026)');</v>
      </c>
    </row>
    <row r="42" spans="1:5" ht="42" x14ac:dyDescent="0.2">
      <c r="A42" s="25">
        <v>1800</v>
      </c>
      <c r="B42" s="21">
        <f t="shared" si="0"/>
        <v>1800</v>
      </c>
      <c r="C42" s="25" t="s">
        <v>412</v>
      </c>
      <c r="D42" s="21" t="str">
        <f t="shared" si="1"/>
        <v xml:space="preserve">						{"1800", "Information Warfare Line Officer - Oceanography"},</v>
      </c>
      <c r="E42" s="21" t="str">
        <f t="shared" si="2"/>
        <v>insert into FTS_officer_billet_codes (suggest_text_1, suggest_text_2, source) values ('1800','Information Warfare Line Officer - Oceanography','NAVPERS 15839I VOL I (JAN 2026)');</v>
      </c>
    </row>
    <row r="43" spans="1:5" ht="42" x14ac:dyDescent="0.2">
      <c r="A43" s="25" t="s">
        <v>145</v>
      </c>
      <c r="B43" s="21" t="str">
        <f t="shared" si="0"/>
        <v>1802</v>
      </c>
      <c r="C43" s="25" t="s">
        <v>413</v>
      </c>
      <c r="D43" s="21" t="str">
        <f t="shared" si="1"/>
        <v xml:space="preserve">						{"1802", "Information Warfare Line Officer billet Code 2 - Operational Flying, requiring Meteorology specialty of a Geophysicist who is a designated Pilot or Naval Flight Officer"},</v>
      </c>
      <c r="E43" s="21" t="str">
        <f t="shared" si="2"/>
        <v>insert into FTS_officer_billet_codes (suggest_text_1, suggest_text_2, source) values ('1802','Information Warfare Line Officer billet Code 2 - Operational Flying, requiring Meteorology specialty of a Geophysicist who is a designated Pilot or Naval Flight Officer','NAVPERS 15839I VOL I (JAN 2026)');</v>
      </c>
    </row>
    <row r="44" spans="1:5" ht="42" x14ac:dyDescent="0.2">
      <c r="A44" s="25">
        <v>1810</v>
      </c>
      <c r="B44" s="21">
        <f t="shared" si="0"/>
        <v>1810</v>
      </c>
      <c r="C44" s="25" t="s">
        <v>414</v>
      </c>
      <c r="D44" s="21" t="str">
        <f t="shared" si="1"/>
        <v xml:space="preserve">						{"1810", "Information Warfare Line Officer – Cryptologic Warfare Officer"},</v>
      </c>
      <c r="E44" s="21" t="str">
        <f t="shared" si="2"/>
        <v>insert into FTS_officer_billet_codes (suggest_text_1, suggest_text_2, source) values ('1810','Information Warfare Line Officer – Cryptologic Warfare Officer','NAVPERS 15839I VOL I (JAN 2026)');</v>
      </c>
    </row>
    <row r="45" spans="1:5" ht="42" x14ac:dyDescent="0.2">
      <c r="A45" s="25">
        <v>1820</v>
      </c>
      <c r="B45" s="21">
        <f t="shared" si="0"/>
        <v>1820</v>
      </c>
      <c r="C45" s="25" t="s">
        <v>415</v>
      </c>
      <c r="D45" s="21" t="str">
        <f t="shared" si="1"/>
        <v xml:space="preserve">						{"1820", "Information Warfare Line Officer – Information Professional Officer"},</v>
      </c>
      <c r="E45" s="21" t="str">
        <f t="shared" si="2"/>
        <v>insert into FTS_officer_billet_codes (suggest_text_1, suggest_text_2, source) values ('1820','Information Warfare Line Officer – Information Professional Officer','NAVPERS 15839I VOL I (JAN 2026)');</v>
      </c>
    </row>
    <row r="46" spans="1:5" ht="42" x14ac:dyDescent="0.2">
      <c r="A46" s="25">
        <v>1830</v>
      </c>
      <c r="B46" s="21">
        <f t="shared" si="0"/>
        <v>1830</v>
      </c>
      <c r="C46" s="25" t="s">
        <v>416</v>
      </c>
      <c r="D46" s="21" t="str">
        <f t="shared" si="1"/>
        <v xml:space="preserve">						{"1830", "Information Warfare Line Officer – Intelligence Officer"},</v>
      </c>
      <c r="E46" s="21" t="str">
        <f t="shared" si="2"/>
        <v>insert into FTS_officer_billet_codes (suggest_text_1, suggest_text_2, source) values ('1830','Information Warfare Line Officer – Intelligence Officer','NAVPERS 15839I VOL I (JAN 2026)');</v>
      </c>
    </row>
    <row r="47" spans="1:5" ht="42" x14ac:dyDescent="0.2">
      <c r="A47" s="25">
        <v>1840</v>
      </c>
      <c r="B47" s="21">
        <f t="shared" si="0"/>
        <v>1840</v>
      </c>
      <c r="C47" s="25" t="s">
        <v>418</v>
      </c>
      <c r="D47" s="21" t="str">
        <f t="shared" si="1"/>
        <v xml:space="preserve">						{"1840", "Information Warfare Line Officer – Cyber Warfare Engineer"},</v>
      </c>
      <c r="E47" s="21" t="str">
        <f t="shared" si="2"/>
        <v>insert into FTS_officer_billet_codes (suggest_text_1, suggest_text_2, source) values ('1840','Information Warfare Line Officer – Cyber Warfare Engineer','NAVPERS 15839I VOL I (JAN 2026)');</v>
      </c>
    </row>
    <row r="48" spans="1:5" ht="42" x14ac:dyDescent="0.2">
      <c r="A48" s="25">
        <v>1850</v>
      </c>
      <c r="B48" s="21">
        <f t="shared" ref="B48:B111" si="3">+IF(LEN(A48)=5,RIGHT(A48,4),A48)</f>
        <v>1850</v>
      </c>
      <c r="C48" s="25" t="s">
        <v>151</v>
      </c>
      <c r="D48" s="21" t="str">
        <f t="shared" ref="D48:D88" si="4">+_xlfn.CONCAT("						{""",B48,""", """,TRIM(C48),"""},")</f>
        <v xml:space="preserve">						{"1850", "Billets which may be filled by any appropriately skilled and experienced IWC Officer"},</v>
      </c>
      <c r="E48" s="21" t="str">
        <f t="shared" si="2"/>
        <v>insert into FTS_officer_billet_codes (suggest_text_1, suggest_text_2, source) values ('1850','Billets which may be filled by any appropriately skilled and experienced IWC Officer','NAVPERS 15839I VOL I (JAN 2026)');</v>
      </c>
    </row>
    <row r="49" spans="1:5" ht="42" x14ac:dyDescent="0.2">
      <c r="A49" s="25">
        <v>1860</v>
      </c>
      <c r="B49" s="21">
        <f t="shared" si="3"/>
        <v>1860</v>
      </c>
      <c r="C49" s="25" t="s">
        <v>420</v>
      </c>
      <c r="D49" s="21" t="str">
        <f t="shared" si="4"/>
        <v xml:space="preserve">						{"1860", "Information Warfare Line Officer – IWC Flag Officer"},</v>
      </c>
      <c r="E49" s="21" t="str">
        <f t="shared" si="2"/>
        <v>insert into FTS_officer_billet_codes (suggest_text_1, suggest_text_2, source) values ('1860','Information Warfare Line Officer – IWC Flag Officer','NAVPERS 15839I VOL I (JAN 2026)');</v>
      </c>
    </row>
    <row r="50" spans="1:5" ht="42" x14ac:dyDescent="0.2">
      <c r="A50" s="25">
        <v>1870</v>
      </c>
      <c r="B50" s="21">
        <f t="shared" si="3"/>
        <v>1870</v>
      </c>
      <c r="C50" s="25" t="s">
        <v>446</v>
      </c>
      <c r="D50" s="21" t="str">
        <f t="shared" si="4"/>
        <v xml:space="preserve">						{"1870", "Information Warfare Line Officer – Maritime Space Officer / Warfare –qualified URL/RL officers at O3, O4, O5 and O6 level / Reserve Grades URL/RL O2 to O6"},</v>
      </c>
      <c r="E50" s="21" t="str">
        <f t="shared" si="2"/>
        <v>insert into FTS_officer_billet_codes (suggest_text_1, suggest_text_2, source) values ('1870','Information Warfare Line Officer – Maritime Space Officer / Warfare –qualified URL/RL officers at O3, O4, O5 and O6 level / Reserve Grades URL/RL O2 to O6','NAVPERS 15839I VOL I (JAN 2026)');</v>
      </c>
    </row>
    <row r="51" spans="1:5" ht="42" x14ac:dyDescent="0.2">
      <c r="A51" s="25">
        <v>1880</v>
      </c>
      <c r="B51" s="21">
        <f t="shared" si="3"/>
        <v>1880</v>
      </c>
      <c r="C51" s="25" t="s">
        <v>423</v>
      </c>
      <c r="D51" s="21" t="str">
        <f t="shared" si="4"/>
        <v xml:space="preserve">						{"1880", "Information Warfare Line Officer -Maritime Cyber Warfare Officer (O1 to O6)"},</v>
      </c>
      <c r="E51" s="21" t="str">
        <f t="shared" si="2"/>
        <v>insert into FTS_officer_billet_codes (suggest_text_1, suggest_text_2, source) values ('1880','Information Warfare Line Officer -Maritime Cyber Warfare Officer (O1 to O6)','NAVPERS 15839I VOL I (JAN 2026)');</v>
      </c>
    </row>
    <row r="52" spans="1:5" ht="42" x14ac:dyDescent="0.2">
      <c r="A52" s="25">
        <v>1900</v>
      </c>
      <c r="B52" s="21">
        <f t="shared" si="3"/>
        <v>1900</v>
      </c>
      <c r="C52" s="25" t="s">
        <v>156</v>
      </c>
      <c r="D52" s="21" t="str">
        <f t="shared" si="4"/>
        <v xml:space="preserve">						{"1900", "Unrestricted Line Officer student billet for a prospective Nurse Corps officer"},</v>
      </c>
      <c r="E52" s="21" t="str">
        <f t="shared" si="2"/>
        <v>insert into FTS_officer_billet_codes (suggest_text_1, suggest_text_2, source) values ('1900','Unrestricted Line Officer student billet for a prospective Nurse Corps officer','NAVPERS 15839I VOL I (JAN 2026)');</v>
      </c>
    </row>
    <row r="53" spans="1:5" ht="42" x14ac:dyDescent="0.2">
      <c r="A53" s="25">
        <v>1910</v>
      </c>
      <c r="B53" s="21">
        <f t="shared" si="3"/>
        <v>1910</v>
      </c>
      <c r="C53" s="25" t="s">
        <v>160</v>
      </c>
      <c r="D53" s="21" t="str">
        <f t="shared" si="4"/>
        <v xml:space="preserve">						{"1910", "Unrestricted Line Officer student billet for a prospective Medical Corps officer (Senior Medical Student Program)"},</v>
      </c>
      <c r="E53" s="21" t="str">
        <f t="shared" si="2"/>
        <v>insert into FTS_officer_billet_codes (suggest_text_1, suggest_text_2, source) values ('1910','Unrestricted Line Officer student billet for a prospective Medical Corps officer (Senior Medical Student Program)','NAVPERS 15839I VOL I (JAN 2026)');</v>
      </c>
    </row>
    <row r="54" spans="1:5" ht="42" x14ac:dyDescent="0.2">
      <c r="A54" s="25">
        <v>1920</v>
      </c>
      <c r="B54" s="21">
        <f t="shared" si="3"/>
        <v>1920</v>
      </c>
      <c r="C54" s="25" t="s">
        <v>163</v>
      </c>
      <c r="D54" s="21" t="str">
        <f t="shared" si="4"/>
        <v xml:space="preserve">						{"1920", "Unrestricted Line Officer student billet for a prospective Dental Corps officer"},</v>
      </c>
      <c r="E54" s="21" t="str">
        <f t="shared" si="2"/>
        <v>insert into FTS_officer_billet_codes (suggest_text_1, suggest_text_2, source) values ('1920','Unrestricted Line Officer student billet for a prospective Dental Corps officer','NAVPERS 15839I VOL I (JAN 2026)');</v>
      </c>
    </row>
    <row r="55" spans="1:5" ht="42" x14ac:dyDescent="0.2">
      <c r="A55" s="25">
        <v>1930</v>
      </c>
      <c r="B55" s="21">
        <f t="shared" si="3"/>
        <v>1930</v>
      </c>
      <c r="C55" s="25" t="s">
        <v>166</v>
      </c>
      <c r="D55" s="21" t="str">
        <f t="shared" si="4"/>
        <v xml:space="preserve">						{"1930", "Unrestricted Line Officer student billet for a prospective Medical Service officer (Optometry)"},</v>
      </c>
      <c r="E55" s="21" t="str">
        <f t="shared" si="2"/>
        <v>insert into FTS_officer_billet_codes (suggest_text_1, suggest_text_2, source) values ('1930','Unrestricted Line Officer student billet for a prospective Medical Service officer (Optometry)','NAVPERS 15839I VOL I (JAN 2026)');</v>
      </c>
    </row>
    <row r="56" spans="1:5" ht="42" x14ac:dyDescent="0.2">
      <c r="A56" s="25">
        <v>1950</v>
      </c>
      <c r="B56" s="21">
        <f t="shared" si="3"/>
        <v>1950</v>
      </c>
      <c r="C56" s="25" t="s">
        <v>171</v>
      </c>
      <c r="D56" s="21" t="str">
        <f t="shared" si="4"/>
        <v xml:space="preserve">						{"1950", "Unrestricted Line Officer student billet for a prospective Judge Advocate General’s Corps Officer Law Education Program (LEP)"},</v>
      </c>
      <c r="E56" s="21" t="str">
        <f t="shared" si="2"/>
        <v>insert into FTS_officer_billet_codes (suggest_text_1, suggest_text_2, source) values ('1950','Unrestricted Line Officer student billet for a prospective Judge Advocate General’s Corps Officer Law Education Program (LEP)','NAVPERS 15839I VOL I (JAN 2026)');</v>
      </c>
    </row>
    <row r="57" spans="1:5" ht="42" x14ac:dyDescent="0.2">
      <c r="A57" s="25">
        <v>1960</v>
      </c>
      <c r="B57" s="21">
        <f t="shared" si="3"/>
        <v>1960</v>
      </c>
      <c r="C57" s="25" t="s">
        <v>175</v>
      </c>
      <c r="D57" s="21" t="str">
        <f t="shared" si="4"/>
        <v xml:space="preserve">						{"1960", "Unrestricted Line Officer student billet for a prospective Medical Corps officer (Medical /Osteopathic Scholarship Program)"},</v>
      </c>
      <c r="E57" s="21" t="str">
        <f t="shared" si="2"/>
        <v>insert into FTS_officer_billet_codes (suggest_text_1, suggest_text_2, source) values ('1960','Unrestricted Line Officer student billet for a prospective Medical Corps officer (Medical /Osteopathic Scholarship Program)','NAVPERS 15839I VOL I (JAN 2026)');</v>
      </c>
    </row>
    <row r="58" spans="1:5" ht="42" x14ac:dyDescent="0.2">
      <c r="A58" s="25">
        <v>2000</v>
      </c>
      <c r="B58" s="21">
        <f t="shared" si="3"/>
        <v>2000</v>
      </c>
      <c r="C58" s="25" t="s">
        <v>188</v>
      </c>
      <c r="D58" s="21" t="str">
        <f t="shared" si="4"/>
        <v xml:space="preserve">						{"2000", "Medical Department (Medical Admin) Officer billet which may be filled by an appropriately skilled and experienced individual of one of the Medical Department officer communities (LCDR and above)"},</v>
      </c>
      <c r="E58" s="21" t="str">
        <f t="shared" si="2"/>
        <v>insert into FTS_officer_billet_codes (suggest_text_1, suggest_text_2, source) values ('2000','Medical Department (Medical Admin) Officer billet which may be filled by an appropriately skilled and experienced individual of one of the Medical Department officer communities (LCDR and above)','NAVPERS 15839I VOL I (JAN 2026)');</v>
      </c>
    </row>
    <row r="59" spans="1:5" ht="42" x14ac:dyDescent="0.2">
      <c r="A59" s="25">
        <v>2100</v>
      </c>
      <c r="B59" s="21">
        <f t="shared" si="3"/>
        <v>2100</v>
      </c>
      <c r="C59" s="25" t="s">
        <v>189</v>
      </c>
      <c r="D59" s="21" t="str">
        <f t="shared" si="4"/>
        <v xml:space="preserve">						{"2100", "Staff Corps Officer billet requiring Medical specialty"},</v>
      </c>
      <c r="E59" s="21" t="str">
        <f t="shared" si="2"/>
        <v>insert into FTS_officer_billet_codes (suggest_text_1, suggest_text_2, source) values ('2100','Staff Corps Officer billet requiring Medical specialty','NAVPERS 15839I VOL I (JAN 2026)');</v>
      </c>
    </row>
    <row r="60" spans="1:5" ht="42" x14ac:dyDescent="0.2">
      <c r="A60" s="25" t="s">
        <v>192</v>
      </c>
      <c r="B60" s="21" t="str">
        <f t="shared" si="3"/>
        <v>2102</v>
      </c>
      <c r="C60" s="25" t="s">
        <v>193</v>
      </c>
      <c r="D60" s="21" t="str">
        <f t="shared" si="4"/>
        <v xml:space="preserve">						{"2102", "Staff Corps Officer billet Code 2 - Operational Flying, requiring Medical specialty of a qualified Flight Surgeon"},</v>
      </c>
      <c r="E60" s="21" t="str">
        <f t="shared" si="2"/>
        <v>insert into FTS_officer_billet_codes (suggest_text_1, suggest_text_2, source) values ('2102','Staff Corps Officer billet Code 2 - Operational Flying, requiring Medical specialty of a qualified Flight Surgeon','NAVPERS 15839I VOL I (JAN 2026)');</v>
      </c>
    </row>
    <row r="61" spans="1:5" ht="42" x14ac:dyDescent="0.2">
      <c r="A61" s="25">
        <v>2200</v>
      </c>
      <c r="B61" s="21">
        <f t="shared" si="3"/>
        <v>2200</v>
      </c>
      <c r="C61" s="25" t="s">
        <v>194</v>
      </c>
      <c r="D61" s="21" t="str">
        <f t="shared" si="4"/>
        <v xml:space="preserve">						{"2200", "Staff Corps Officer billet requiring Dental specialty"},</v>
      </c>
      <c r="E61" s="21" t="str">
        <f t="shared" si="2"/>
        <v>insert into FTS_officer_billet_codes (suggest_text_1, suggest_text_2, source) values ('2200','Staff Corps Officer billet requiring Dental specialty','NAVPERS 15839I VOL I (JAN 2026)');</v>
      </c>
    </row>
    <row r="62" spans="1:5" ht="42" x14ac:dyDescent="0.2">
      <c r="A62" s="25">
        <v>2300</v>
      </c>
      <c r="B62" s="21">
        <f t="shared" si="3"/>
        <v>2300</v>
      </c>
      <c r="C62" s="25" t="s">
        <v>197</v>
      </c>
      <c r="D62" s="21" t="str">
        <f t="shared" si="4"/>
        <v xml:space="preserve">						{"2300", "Staff Corps Officer billet requiring Medical Service (Health Care Administration, Medical Allied Science, Optometry, Pharmacy, or Medical Specialist) specialty"},</v>
      </c>
      <c r="E62" s="21" t="str">
        <f t="shared" si="2"/>
        <v>insert into FTS_officer_billet_codes (suggest_text_1, suggest_text_2, source) values ('2300','Staff Corps Officer billet requiring Medical Service (Health Care Administration, Medical Allied Science, Optometry, Pharmacy, or Medical Specialist) specialty','NAVPERS 15839I VOL I (JAN 2026)');</v>
      </c>
    </row>
    <row r="63" spans="1:5" ht="42" x14ac:dyDescent="0.2">
      <c r="A63" s="25" t="s">
        <v>200</v>
      </c>
      <c r="B63" s="21" t="str">
        <f t="shared" si="3"/>
        <v>2302</v>
      </c>
      <c r="C63" s="25" t="s">
        <v>201</v>
      </c>
      <c r="D63" s="21" t="str">
        <f t="shared" si="4"/>
        <v xml:space="preserve">						{"2302", "Staff Corps Officer billet, Code 2 - Operational Flying, requiring specialty of a qualified Aviation Physiologist, Aviation Experimental Psychologist, or Flight Physician Assistant"},</v>
      </c>
      <c r="E63" s="21" t="str">
        <f t="shared" si="2"/>
        <v>insert into FTS_officer_billet_codes (suggest_text_1, suggest_text_2, source) values ('2302','Staff Corps Officer billet, Code 2 - Operational Flying, requiring specialty of a qualified Aviation Physiologist, Aviation Experimental Psychologist, or Flight Physician Assistant','NAVPERS 15839I VOL I (JAN 2026)');</v>
      </c>
    </row>
    <row r="64" spans="1:5" ht="42" x14ac:dyDescent="0.2">
      <c r="A64" s="25">
        <v>2500</v>
      </c>
      <c r="B64" s="21">
        <f t="shared" si="3"/>
        <v>2500</v>
      </c>
      <c r="C64" s="25" t="s">
        <v>202</v>
      </c>
      <c r="D64" s="21" t="str">
        <f t="shared" si="4"/>
        <v xml:space="preserve">						{"2500", "Staff Corps Officer billet requiring Law specialty"},</v>
      </c>
      <c r="E64" s="21" t="str">
        <f t="shared" si="2"/>
        <v>insert into FTS_officer_billet_codes (suggest_text_1, suggest_text_2, source) values ('2500','Staff Corps Officer billet requiring Law specialty','NAVPERS 15839I VOL I (JAN 2026)');</v>
      </c>
    </row>
    <row r="65" spans="1:5" ht="42" x14ac:dyDescent="0.2">
      <c r="A65" s="25">
        <v>2900</v>
      </c>
      <c r="B65" s="21">
        <f t="shared" si="3"/>
        <v>2900</v>
      </c>
      <c r="C65" s="25" t="s">
        <v>207</v>
      </c>
      <c r="D65" s="21" t="str">
        <f t="shared" si="4"/>
        <v xml:space="preserve">						{"2900", "Staff Corps Officer billet requiring Nursing specialty"},</v>
      </c>
      <c r="E65" s="21" t="str">
        <f t="shared" si="2"/>
        <v>insert into FTS_officer_billet_codes (suggest_text_1, suggest_text_2, source) values ('2900','Staff Corps Officer billet requiring Nursing specialty','NAVPERS 15839I VOL I (JAN 2026)');</v>
      </c>
    </row>
    <row r="66" spans="1:5" ht="42" x14ac:dyDescent="0.2">
      <c r="A66" s="25">
        <v>3100</v>
      </c>
      <c r="B66" s="21">
        <f t="shared" si="3"/>
        <v>3100</v>
      </c>
      <c r="C66" s="25" t="s">
        <v>210</v>
      </c>
      <c r="D66" s="21" t="str">
        <f t="shared" si="4"/>
        <v xml:space="preserve">						{"3100", "Staff Corps Officer billet requiring Supply specialty"},</v>
      </c>
      <c r="E66" s="21" t="str">
        <f t="shared" si="2"/>
        <v>insert into FTS_officer_billet_codes (suggest_text_1, suggest_text_2, source) values ('3100','Staff Corps Officer billet requiring Supply specialty','NAVPERS 15839I VOL I (JAN 2026)');</v>
      </c>
    </row>
    <row r="67" spans="1:5" ht="42" x14ac:dyDescent="0.2">
      <c r="A67" s="25">
        <v>4100</v>
      </c>
      <c r="B67" s="21">
        <f t="shared" si="3"/>
        <v>4100</v>
      </c>
      <c r="C67" s="25" t="s">
        <v>216</v>
      </c>
      <c r="D67" s="21" t="str">
        <f t="shared" si="4"/>
        <v xml:space="preserve">						{"4100", "Staff Corps Officer billet requiring Chaplain specialty"},</v>
      </c>
      <c r="E67" s="21" t="str">
        <f t="shared" ref="E67:E120" si="5">"insert into FTS_officer_billet_codes (suggest_text_1, suggest_text_2, source) values ('"
 &amp; SUBSTITUTE(B67,"'","''") &amp; "','"
 &amp; SUBSTITUTE(TRIM(C67),"'","''") &amp; "','NAVPERS 15839I VOL I (JAN 2026)');"</f>
        <v>insert into FTS_officer_billet_codes (suggest_text_1, suggest_text_2, source) values ('4100','Staff Corps Officer billet requiring Chaplain specialty','NAVPERS 15839I VOL I (JAN 2026)');</v>
      </c>
    </row>
    <row r="68" spans="1:5" ht="42" x14ac:dyDescent="0.2">
      <c r="A68" s="25">
        <v>5100</v>
      </c>
      <c r="B68" s="21">
        <f t="shared" si="3"/>
        <v>5100</v>
      </c>
      <c r="C68" s="25" t="s">
        <v>219</v>
      </c>
      <c r="D68" s="21" t="str">
        <f t="shared" si="4"/>
        <v xml:space="preserve">						{"5100", "Staff Corps Officer billet requiring Civil Engineering specialty"},</v>
      </c>
      <c r="E68" s="21" t="str">
        <f t="shared" si="5"/>
        <v>insert into FTS_officer_billet_codes (suggest_text_1, suggest_text_2, source) values ('5100','Staff Corps Officer billet requiring Civil Engineering specialty','NAVPERS 15839I VOL I (JAN 2026)');</v>
      </c>
    </row>
    <row r="69" spans="1:5" ht="42" x14ac:dyDescent="0.2">
      <c r="A69" s="25">
        <v>6000</v>
      </c>
      <c r="B69" s="21">
        <f t="shared" si="3"/>
        <v>6000</v>
      </c>
      <c r="C69" s="25" t="s">
        <v>224</v>
      </c>
      <c r="D69" s="21" t="str">
        <f t="shared" si="4"/>
        <v xml:space="preserve">						{"6000", "Billet which may be filled by any appropriately skilled and experienced Limited Duty Officer Line (CDR and above)"},</v>
      </c>
      <c r="E69" s="21" t="str">
        <f t="shared" si="5"/>
        <v>insert into FTS_officer_billet_codes (suggest_text_1, suggest_text_2, source) values ('6000','Billet which may be filled by any appropriately skilled and experienced Limited Duty Officer Line (CDR and above)','NAVPERS 15839I VOL I (JAN 2026)');</v>
      </c>
    </row>
    <row r="70" spans="1:5" ht="42" x14ac:dyDescent="0.2">
      <c r="A70" s="25">
        <v>6110</v>
      </c>
      <c r="B70" s="21">
        <f t="shared" si="3"/>
        <v>6110</v>
      </c>
      <c r="C70" s="25" t="s">
        <v>225</v>
      </c>
      <c r="D70" s="21" t="str">
        <f t="shared" si="4"/>
        <v xml:space="preserve">						{"6110", "Limited Duty Officer (Line) billet requiring management in Deck specialty (Surface)"},</v>
      </c>
      <c r="E70" s="21" t="str">
        <f t="shared" si="5"/>
        <v>insert into FTS_officer_billet_codes (suggest_text_1, suggest_text_2, source) values ('6110','Limited Duty Officer (Line) billet requiring management in Deck specialty (Surface)','NAVPERS 15839I VOL I (JAN 2026)');</v>
      </c>
    </row>
    <row r="71" spans="1:5" ht="42" x14ac:dyDescent="0.2">
      <c r="A71" s="25">
        <v>6120</v>
      </c>
      <c r="B71" s="21">
        <f t="shared" si="3"/>
        <v>6120</v>
      </c>
      <c r="C71" s="25" t="s">
        <v>228</v>
      </c>
      <c r="D71" s="21" t="str">
        <f t="shared" si="4"/>
        <v xml:space="preserve">						{"6120", "Limited Duty Officer (Line) billet requiring management in Operations specialty (Surface)"},</v>
      </c>
      <c r="E71" s="21" t="str">
        <f t="shared" si="5"/>
        <v>insert into FTS_officer_billet_codes (suggest_text_1, suggest_text_2, source) values ('6120','Limited Duty Officer (Line) billet requiring management in Operations specialty (Surface)','NAVPERS 15839I VOL I (JAN 2026)');</v>
      </c>
    </row>
    <row r="72" spans="1:5" ht="42" x14ac:dyDescent="0.2">
      <c r="A72" s="25">
        <v>6130</v>
      </c>
      <c r="B72" s="21">
        <f t="shared" si="3"/>
        <v>6130</v>
      </c>
      <c r="C72" s="25" t="s">
        <v>231</v>
      </c>
      <c r="D72" s="21" t="str">
        <f t="shared" si="4"/>
        <v xml:space="preserve">						{"6130", "Limited Duty Officer (Line) billet requiring management in Engineering/Repair specialty (Surface)"},</v>
      </c>
      <c r="E72" s="21" t="str">
        <f t="shared" si="5"/>
        <v>insert into FTS_officer_billet_codes (suggest_text_1, suggest_text_2, source) values ('6130','Limited Duty Officer (Line) billet requiring management in Engineering/Repair specialty (Surface)','NAVPERS 15839I VOL I (JAN 2026)');</v>
      </c>
    </row>
    <row r="73" spans="1:5" ht="42" x14ac:dyDescent="0.2">
      <c r="A73" s="25">
        <v>6180</v>
      </c>
      <c r="B73" s="21">
        <f t="shared" si="3"/>
        <v>6180</v>
      </c>
      <c r="C73" s="25" t="s">
        <v>234</v>
      </c>
      <c r="D73" s="21" t="str">
        <f t="shared" si="4"/>
        <v xml:space="preserve">						{"6180", "Limited Duty Officer (Line) billet requiring management in Electronics specialty (Surface)"},</v>
      </c>
      <c r="E73" s="21" t="str">
        <f t="shared" si="5"/>
        <v>insert into FTS_officer_billet_codes (suggest_text_1, suggest_text_2, source) values ('6180','Limited Duty Officer (Line) billet requiring management in Electronics specialty (Surface)','NAVPERS 15839I VOL I (JAN 2026)');</v>
      </c>
    </row>
    <row r="74" spans="1:5" ht="42" x14ac:dyDescent="0.2">
      <c r="A74" s="25">
        <v>6200</v>
      </c>
      <c r="B74" s="21">
        <f t="shared" si="3"/>
        <v>6200</v>
      </c>
      <c r="C74" s="25" t="s">
        <v>238</v>
      </c>
      <c r="D74" s="21" t="str">
        <f t="shared" si="4"/>
        <v xml:space="preserve">						{"6200", "Limited Duty Officer (Line) billet requiring management in Nuclear Power specialty"},</v>
      </c>
      <c r="E74" s="21" t="str">
        <f t="shared" si="5"/>
        <v>insert into FTS_officer_billet_codes (suggest_text_1, suggest_text_2, source) values ('6200','Limited Duty Officer (Line) billet requiring management in Nuclear Power specialty','NAVPERS 15839I VOL I (JAN 2026)');</v>
      </c>
    </row>
    <row r="75" spans="1:5" ht="42" x14ac:dyDescent="0.2">
      <c r="A75" s="25">
        <v>6230</v>
      </c>
      <c r="B75" s="21">
        <f t="shared" si="3"/>
        <v>6230</v>
      </c>
      <c r="C75" s="25" t="s">
        <v>240</v>
      </c>
      <c r="D75" s="21" t="str">
        <f t="shared" si="4"/>
        <v xml:space="preserve">						{"6230", "Limited Duty Officer (Line) billet requiring management in Engineering/Repair specialty (Submarine)"},</v>
      </c>
      <c r="E75" s="21" t="str">
        <f t="shared" si="5"/>
        <v>insert into FTS_officer_billet_codes (suggest_text_1, suggest_text_2, source) values ('6230','Limited Duty Officer (Line) billet requiring management in Engineering/Repair specialty (Submarine)','NAVPERS 15839I VOL I (JAN 2026)');</v>
      </c>
    </row>
    <row r="76" spans="1:5" ht="42" x14ac:dyDescent="0.2">
      <c r="A76" s="25">
        <v>6260</v>
      </c>
      <c r="B76" s="21">
        <f t="shared" si="3"/>
        <v>6260</v>
      </c>
      <c r="C76" s="25" t="s">
        <v>243</v>
      </c>
      <c r="D76" s="21" t="str">
        <f t="shared" si="4"/>
        <v xml:space="preserve">						{"6260", "Limited Duty Officer (Line) billet requiring management in Ordnance specialty (Submarine)"},</v>
      </c>
      <c r="E76" s="21" t="str">
        <f t="shared" si="5"/>
        <v>insert into FTS_officer_billet_codes (suggest_text_1, suggest_text_2, source) values ('6260','Limited Duty Officer (Line) billet requiring management in Ordnance specialty (Submarine)','NAVPERS 15839I VOL I (JAN 2026)');</v>
      </c>
    </row>
    <row r="77" spans="1:5" ht="42" x14ac:dyDescent="0.2">
      <c r="A77" s="25">
        <v>6280</v>
      </c>
      <c r="B77" s="21">
        <f t="shared" si="3"/>
        <v>6280</v>
      </c>
      <c r="C77" s="25" t="s">
        <v>246</v>
      </c>
      <c r="D77" s="21" t="str">
        <f t="shared" si="4"/>
        <v xml:space="preserve">						{"6280", "Limited Duty Officer (Line) billet requiring management in Electronics specialty (Submarine)"},</v>
      </c>
      <c r="E77" s="21" t="str">
        <f t="shared" si="5"/>
        <v>insert into FTS_officer_billet_codes (suggest_text_1, suggest_text_2, source) values ('6280','Limited Duty Officer (Line) billet requiring management in Electronics specialty (Submarine)','NAVPERS 15839I VOL I (JAN 2026)');</v>
      </c>
    </row>
    <row r="78" spans="1:5" ht="42" x14ac:dyDescent="0.2">
      <c r="A78" s="25">
        <v>6290</v>
      </c>
      <c r="B78" s="21">
        <f t="shared" si="3"/>
        <v>6290</v>
      </c>
      <c r="C78" s="25" t="s">
        <v>249</v>
      </c>
      <c r="D78" s="21" t="str">
        <f t="shared" si="4"/>
        <v xml:space="preserve">						{"6290", "Limited Duty Officer (Line) billet requiring management in Communications specialty (Submarine)"},</v>
      </c>
      <c r="E78" s="21" t="str">
        <f t="shared" si="5"/>
        <v>insert into FTS_officer_billet_codes (suggest_text_1, suggest_text_2, source) values ('6290','Limited Duty Officer (Line) billet requiring management in Communications specialty (Submarine)','NAVPERS 15839I VOL I (JAN 2026)');</v>
      </c>
    </row>
    <row r="79" spans="1:5" ht="42" x14ac:dyDescent="0.2">
      <c r="A79" s="25">
        <v>6310</v>
      </c>
      <c r="B79" s="21">
        <f t="shared" si="3"/>
        <v>6310</v>
      </c>
      <c r="C79" s="25" t="s">
        <v>255</v>
      </c>
      <c r="D79" s="21" t="str">
        <f t="shared" si="4"/>
        <v xml:space="preserve">						{"6310", "Limited Duty Officer (Line) billet requiring management in Aviation Deck specialty"},</v>
      </c>
      <c r="E79" s="21" t="str">
        <f t="shared" si="5"/>
        <v>insert into FTS_officer_billet_codes (suggest_text_1, suggest_text_2, source) values ('6310','Limited Duty Officer (Line) billet requiring management in Aviation Deck specialty','NAVPERS 15839I VOL I (JAN 2026)');</v>
      </c>
    </row>
    <row r="80" spans="1:5" ht="42" x14ac:dyDescent="0.2">
      <c r="A80" s="25">
        <v>6320</v>
      </c>
      <c r="B80" s="21">
        <f t="shared" si="3"/>
        <v>6320</v>
      </c>
      <c r="C80" s="25" t="s">
        <v>258</v>
      </c>
      <c r="D80" s="21" t="str">
        <f t="shared" si="4"/>
        <v xml:space="preserve">						{"6320", "Limited Duty Officer (Line) billet requiring management in Aviation Operations specialty"},</v>
      </c>
      <c r="E80" s="21" t="str">
        <f t="shared" si="5"/>
        <v>insert into FTS_officer_billet_codes (suggest_text_1, suggest_text_2, source) values ('6320','Limited Duty Officer (Line) billet requiring management in Aviation Operations specialty','NAVPERS 15839I VOL I (JAN 2026)');</v>
      </c>
    </row>
    <row r="81" spans="1:5" ht="42" x14ac:dyDescent="0.2">
      <c r="A81" s="25" t="s">
        <v>261</v>
      </c>
      <c r="B81" s="21" t="str">
        <f t="shared" si="3"/>
        <v>6321</v>
      </c>
      <c r="C81" s="25" t="s">
        <v>262</v>
      </c>
      <c r="D81" s="21" t="str">
        <f t="shared" si="4"/>
        <v xml:space="preserve">						{"6321", "Limited Duty Officer (Line) billet, Code 1 - Operational Flying, requiring the specialty of an Aviation Operations (ASW) officer who is aeronautically designated"},</v>
      </c>
      <c r="E81" s="21" t="str">
        <f t="shared" si="5"/>
        <v>insert into FTS_officer_billet_codes (suggest_text_1, suggest_text_2, source) values ('6321','Limited Duty Officer (Line) billet, Code 1 - Operational Flying, requiring the specialty of an Aviation Operations (ASW) officer who is aeronautically designated','NAVPERS 15839I VOL I (JAN 2026)');</v>
      </c>
    </row>
    <row r="82" spans="1:5" ht="42" x14ac:dyDescent="0.2">
      <c r="A82" s="25">
        <v>6330</v>
      </c>
      <c r="B82" s="21">
        <f t="shared" si="3"/>
        <v>6330</v>
      </c>
      <c r="C82" s="25" t="s">
        <v>263</v>
      </c>
      <c r="D82" s="21" t="str">
        <f t="shared" si="4"/>
        <v xml:space="preserve">						{"6330", "Limited Duty Officer (Line) billet requiring management in Aviation Maintenance specialty"},</v>
      </c>
      <c r="E82" s="21" t="str">
        <f t="shared" si="5"/>
        <v>insert into FTS_officer_billet_codes (suggest_text_1, suggest_text_2, source) values ('6330','Limited Duty Officer (Line) billet requiring management in Aviation Maintenance specialty','NAVPERS 15839I VOL I (JAN 2026)');</v>
      </c>
    </row>
    <row r="83" spans="1:5" ht="42" x14ac:dyDescent="0.2">
      <c r="A83" s="25">
        <v>6360</v>
      </c>
      <c r="B83" s="21">
        <f t="shared" si="3"/>
        <v>6360</v>
      </c>
      <c r="C83" s="25" t="s">
        <v>266</v>
      </c>
      <c r="D83" s="21" t="str">
        <f t="shared" si="4"/>
        <v xml:space="preserve">						{"6360", "Limited Duty Officer (Line) billet requiring management in Aviation Ordnance specialty"},</v>
      </c>
      <c r="E83" s="21" t="str">
        <f t="shared" si="5"/>
        <v>insert into FTS_officer_billet_codes (suggest_text_1, suggest_text_2, source) values ('6360','Limited Duty Officer (Line) billet requiring management in Aviation Ordnance specialty','NAVPERS 15839I VOL I (JAN 2026)');</v>
      </c>
    </row>
    <row r="84" spans="1:5" ht="42" x14ac:dyDescent="0.2">
      <c r="A84" s="25">
        <v>6390</v>
      </c>
      <c r="B84" s="21">
        <f t="shared" si="3"/>
        <v>6390</v>
      </c>
      <c r="C84" s="25" t="s">
        <v>269</v>
      </c>
      <c r="D84" s="21" t="str">
        <f t="shared" si="4"/>
        <v xml:space="preserve">						{"6390", "Limited Duty Officer (Line) billet requiring management in Air Traffic Control specialty"},</v>
      </c>
      <c r="E84" s="21" t="str">
        <f t="shared" si="5"/>
        <v>insert into FTS_officer_billet_codes (suggest_text_1, suggest_text_2, source) values ('6390','Limited Duty Officer (Line) billet requiring management in Air Traffic Control specialty','NAVPERS 15839I VOL I (JAN 2026)');</v>
      </c>
    </row>
    <row r="85" spans="1:5" ht="42" x14ac:dyDescent="0.2">
      <c r="A85" s="25">
        <v>6410</v>
      </c>
      <c r="B85" s="21">
        <f t="shared" si="3"/>
        <v>6410</v>
      </c>
      <c r="C85" s="25" t="s">
        <v>273</v>
      </c>
      <c r="D85" s="21" t="str">
        <f t="shared" si="4"/>
        <v xml:space="preserve">						{"6410", "Limited Duty Officer (Line) billet requiring management in Administration specialty"},</v>
      </c>
      <c r="E85" s="21" t="str">
        <f t="shared" si="5"/>
        <v>insert into FTS_officer_billet_codes (suggest_text_1, suggest_text_2, source) values ('6410','Limited Duty Officer (Line) billet requiring management in Administration specialty','NAVPERS 15839I VOL I (JAN 2026)');</v>
      </c>
    </row>
    <row r="86" spans="1:5" ht="42" x14ac:dyDescent="0.2">
      <c r="A86" s="25">
        <v>6430</v>
      </c>
      <c r="B86" s="21">
        <f t="shared" si="3"/>
        <v>6430</v>
      </c>
      <c r="C86" s="25" t="s">
        <v>276</v>
      </c>
      <c r="D86" s="21" t="str">
        <f t="shared" si="4"/>
        <v xml:space="preserve">						{"6430", "Limited Duty Officer (Line) billet requiring Bandmaster specialty"},</v>
      </c>
      <c r="E86" s="21" t="str">
        <f t="shared" si="5"/>
        <v>insert into FTS_officer_billet_codes (suggest_text_1, suggest_text_2, source) values ('6430','Limited Duty Officer (Line) billet requiring Bandmaster specialty','NAVPERS 15839I VOL I (JAN 2026)');</v>
      </c>
    </row>
    <row r="87" spans="1:5" ht="42" x14ac:dyDescent="0.2">
      <c r="A87" s="25">
        <v>6480</v>
      </c>
      <c r="B87" s="21">
        <f t="shared" si="3"/>
        <v>6480</v>
      </c>
      <c r="C87" s="25" t="s">
        <v>279</v>
      </c>
      <c r="D87" s="21" t="str">
        <f t="shared" si="4"/>
        <v xml:space="preserve">						{"6480", "Limited Duty Officer (Line) billet requiring management in Explosive Ordnance Disposal specialty"},</v>
      </c>
      <c r="E87" s="21" t="str">
        <f t="shared" si="5"/>
        <v>insert into FTS_officer_billet_codes (suggest_text_1, suggest_text_2, source) values ('6480','Limited Duty Officer (Line) billet requiring management in Explosive Ordnance Disposal specialty','NAVPERS 15839I VOL I (JAN 2026)');</v>
      </c>
    </row>
    <row r="88" spans="1:5" ht="42" x14ac:dyDescent="0.2">
      <c r="A88" s="25">
        <v>6490</v>
      </c>
      <c r="B88" s="21">
        <f t="shared" si="3"/>
        <v>6490</v>
      </c>
      <c r="C88" s="25" t="s">
        <v>282</v>
      </c>
      <c r="D88" s="21" t="str">
        <f t="shared" si="4"/>
        <v xml:space="preserve">						{"6490", "Limited Duty Officer (Line) billet requiring management in Security specialty"},</v>
      </c>
      <c r="E88" s="21" t="str">
        <f t="shared" si="5"/>
        <v>insert into FTS_officer_billet_codes (suggest_text_1, suggest_text_2, source) values ('6490','Limited Duty Officer (Line) billet requiring management in Security specialty','NAVPERS 15839I VOL I (JAN 2026)');</v>
      </c>
    </row>
    <row r="89" spans="1:5" ht="42" x14ac:dyDescent="0.2">
      <c r="A89" s="25">
        <v>6510</v>
      </c>
      <c r="B89" s="21">
        <f t="shared" si="3"/>
        <v>6510</v>
      </c>
      <c r="C89" s="25" t="s">
        <v>290</v>
      </c>
      <c r="D89" s="21" t="str">
        <f t="shared" ref="D89:D120" si="6">+_xlfn.CONCAT("						{""",B89,""", """,TRIM(C89),"""},")</f>
        <v xml:space="preserve">						{"6510", "Staff Corps Limited Duty Officer billet requiring Supply specialty"},</v>
      </c>
      <c r="E89" s="21" t="str">
        <f t="shared" si="5"/>
        <v>insert into FTS_officer_billet_codes (suggest_text_1, suggest_text_2, source) values ('6510','Staff Corps Limited Duty Officer billet requiring Supply specialty','NAVPERS 15839I VOL I (JAN 2026)');</v>
      </c>
    </row>
    <row r="90" spans="1:5" ht="42" x14ac:dyDescent="0.2">
      <c r="A90" s="25">
        <v>6530</v>
      </c>
      <c r="B90" s="21">
        <f t="shared" si="3"/>
        <v>6530</v>
      </c>
      <c r="C90" s="25" t="s">
        <v>293</v>
      </c>
      <c r="D90" s="21" t="str">
        <f t="shared" si="6"/>
        <v xml:space="preserve">						{"6530", "Staff Corps Limited Duty Officer billet requiring Civil Engineering specialty"},</v>
      </c>
      <c r="E90" s="21" t="str">
        <f t="shared" si="5"/>
        <v>insert into FTS_officer_billet_codes (suggest_text_1, suggest_text_2, source) values ('6530','Staff Corps Limited Duty Officer billet requiring Civil Engineering specialty','NAVPERS 15839I VOL I (JAN 2026)');</v>
      </c>
    </row>
    <row r="91" spans="1:5" ht="42" x14ac:dyDescent="0.2">
      <c r="A91" s="25">
        <v>6800</v>
      </c>
      <c r="B91" s="21">
        <f t="shared" si="3"/>
        <v>6800</v>
      </c>
      <c r="C91" s="25" t="s">
        <v>297</v>
      </c>
      <c r="D91" s="21" t="str">
        <f t="shared" si="6"/>
        <v xml:space="preserve">						{"6800", "Limited Duty Officer (Line) billet requiring management in Meteorology/Oceanography specialty"},</v>
      </c>
      <c r="E91" s="21" t="str">
        <f t="shared" si="5"/>
        <v>insert into FTS_officer_billet_codes (suggest_text_1, suggest_text_2, source) values ('6800','Limited Duty Officer (Line) billet requiring management in Meteorology/Oceanography specialty','NAVPERS 15839I VOL I (JAN 2026)');</v>
      </c>
    </row>
    <row r="92" spans="1:5" ht="42" x14ac:dyDescent="0.2">
      <c r="A92" s="25">
        <v>6810</v>
      </c>
      <c r="B92" s="21">
        <f t="shared" si="3"/>
        <v>6810</v>
      </c>
      <c r="C92" s="25" t="s">
        <v>299</v>
      </c>
      <c r="D92" s="21" t="str">
        <f t="shared" si="6"/>
        <v xml:space="preserve">						{"6810", "Limited Duty Officer (Line) billet requiring management in Cryptologic Warfare specialty"},</v>
      </c>
      <c r="E92" s="21" t="str">
        <f t="shared" si="5"/>
        <v>insert into FTS_officer_billet_codes (suggest_text_1, suggest_text_2, source) values ('6810','Limited Duty Officer (Line) billet requiring management in Cryptologic Warfare specialty','NAVPERS 15839I VOL I (JAN 2026)');</v>
      </c>
    </row>
    <row r="93" spans="1:5" ht="42" x14ac:dyDescent="0.2">
      <c r="A93" s="25">
        <v>6820</v>
      </c>
      <c r="B93" s="21">
        <f t="shared" si="3"/>
        <v>6820</v>
      </c>
      <c r="C93" s="25" t="s">
        <v>301</v>
      </c>
      <c r="D93" s="21" t="str">
        <f t="shared" si="6"/>
        <v xml:space="preserve">						{"6820", "Limited Duty Officer (Line) billet requiring management in Information Professional"},</v>
      </c>
      <c r="E93" s="21" t="str">
        <f t="shared" si="5"/>
        <v>insert into FTS_officer_billet_codes (suggest_text_1, suggest_text_2, source) values ('6820','Limited Duty Officer (Line) billet requiring management in Information Professional','NAVPERS 15839I VOL I (JAN 2026)');</v>
      </c>
    </row>
    <row r="94" spans="1:5" ht="42" x14ac:dyDescent="0.2">
      <c r="A94" s="25">
        <v>6830</v>
      </c>
      <c r="B94" s="21">
        <f t="shared" si="3"/>
        <v>6830</v>
      </c>
      <c r="C94" s="25" t="s">
        <v>303</v>
      </c>
      <c r="D94" s="21" t="str">
        <f t="shared" si="6"/>
        <v xml:space="preserve">						{"6830", "Limited Duty Officer (Line) billet requiring management in Intelligence specialty"},</v>
      </c>
      <c r="E94" s="21" t="str">
        <f t="shared" si="5"/>
        <v>insert into FTS_officer_billet_codes (suggest_text_1, suggest_text_2, source) values ('6830','Limited Duty Officer (Line) billet requiring management in Intelligence specialty','NAVPERS 15839I VOL I (JAN 2026)');</v>
      </c>
    </row>
    <row r="95" spans="1:5" ht="42" x14ac:dyDescent="0.2">
      <c r="A95" s="25">
        <v>7110</v>
      </c>
      <c r="B95" s="21">
        <f t="shared" si="3"/>
        <v>7110</v>
      </c>
      <c r="C95" s="25" t="s">
        <v>311</v>
      </c>
      <c r="D95" s="21" t="str">
        <f t="shared" si="6"/>
        <v xml:space="preserve">						{"7110", "Warrant Officer (Line) billet requiring supervision in Boatswain specialty (Surface)"},</v>
      </c>
      <c r="E95" s="21" t="str">
        <f t="shared" si="5"/>
        <v>insert into FTS_officer_billet_codes (suggest_text_1, suggest_text_2, source) values ('7110','Warrant Officer (Line) billet requiring supervision in Boatswain specialty (Surface)','NAVPERS 15839I VOL I (JAN 2026)');</v>
      </c>
    </row>
    <row r="96" spans="1:5" ht="42" x14ac:dyDescent="0.2">
      <c r="A96" s="25">
        <v>7120</v>
      </c>
      <c r="B96" s="21">
        <f t="shared" si="3"/>
        <v>7120</v>
      </c>
      <c r="C96" s="25" t="s">
        <v>314</v>
      </c>
      <c r="D96" s="21" t="str">
        <f t="shared" si="6"/>
        <v xml:space="preserve">						{"7120", "Warrant Officer (Line) billet requiring supervision in Operations Technician specialty (Surface)"},</v>
      </c>
      <c r="E96" s="21" t="str">
        <f t="shared" si="5"/>
        <v>insert into FTS_officer_billet_codes (suggest_text_1, suggest_text_2, source) values ('7120','Warrant Officer (Line) billet requiring supervision in Operations Technician specialty (Surface)','NAVPERS 15839I VOL I (JAN 2026)');</v>
      </c>
    </row>
    <row r="97" spans="1:5" ht="42" x14ac:dyDescent="0.2">
      <c r="A97" s="25">
        <v>7130</v>
      </c>
      <c r="B97" s="21">
        <f t="shared" si="3"/>
        <v>7130</v>
      </c>
      <c r="C97" s="25" t="s">
        <v>317</v>
      </c>
      <c r="D97" s="21" t="str">
        <f t="shared" si="6"/>
        <v xml:space="preserve">						{"7130", "Warrant Officer (Line) billet requiring supervision in Engineering specialty (Surface)"},</v>
      </c>
      <c r="E97" s="21" t="str">
        <f t="shared" si="5"/>
        <v>insert into FTS_officer_billet_codes (suggest_text_1, suggest_text_2, source) values ('7130','Warrant Officer (Line) billet requiring supervision in Engineering specialty (Surface)','NAVPERS 15839I VOL I (JAN 2026)');</v>
      </c>
    </row>
    <row r="98" spans="1:5" ht="42" x14ac:dyDescent="0.2">
      <c r="A98" s="25">
        <v>7150</v>
      </c>
      <c r="B98" s="21">
        <f t="shared" si="3"/>
        <v>7150</v>
      </c>
      <c r="C98" s="25" t="s">
        <v>320</v>
      </c>
      <c r="D98" s="21" t="str">
        <f t="shared" si="6"/>
        <v xml:space="preserve">						{"7150", "Warrant Officer (Line) billet requiring supervision in Special Warfare Technician specialty"},</v>
      </c>
      <c r="E98" s="21" t="str">
        <f t="shared" si="5"/>
        <v>insert into FTS_officer_billet_codes (suggest_text_1, suggest_text_2, source) values ('7150','Warrant Officer (Line) billet requiring supervision in Special Warfare Technician specialty','NAVPERS 15839I VOL I (JAN 2026)');</v>
      </c>
    </row>
    <row r="99" spans="1:5" ht="42" x14ac:dyDescent="0.2">
      <c r="A99" s="25">
        <v>7170</v>
      </c>
      <c r="B99" s="21">
        <f t="shared" si="3"/>
        <v>7170</v>
      </c>
      <c r="C99" s="25" t="s">
        <v>323</v>
      </c>
      <c r="D99" s="21" t="str">
        <f t="shared" si="6"/>
        <v xml:space="preserve">						{"7170", "Warrant Officer (Line) billet requiring supervision in Naval Special Warfare Combat Crewman"},</v>
      </c>
      <c r="E99" s="21" t="str">
        <f t="shared" si="5"/>
        <v>insert into FTS_officer_billet_codes (suggest_text_1, suggest_text_2, source) values ('7170','Warrant Officer (Line) billet requiring supervision in Naval Special Warfare Combat Crewman','NAVPERS 15839I VOL I (JAN 2026)');</v>
      </c>
    </row>
    <row r="100" spans="1:5" ht="42" x14ac:dyDescent="0.2">
      <c r="A100" s="25">
        <v>7180</v>
      </c>
      <c r="B100" s="21">
        <f t="shared" si="3"/>
        <v>7180</v>
      </c>
      <c r="C100" s="25" t="s">
        <v>326</v>
      </c>
      <c r="D100" s="21" t="str">
        <f t="shared" si="6"/>
        <v xml:space="preserve">						{"7180", "Warrant Officer (Line) billet requiring supervision in Electronics Technician specialty"},</v>
      </c>
      <c r="E100" s="21" t="str">
        <f t="shared" si="5"/>
        <v>insert into FTS_officer_billet_codes (suggest_text_1, suggest_text_2, source) values ('7180','Warrant Officer (Line) billet requiring supervision in Electronics Technician specialty','NAVPERS 15839I VOL I (JAN 2026)');</v>
      </c>
    </row>
    <row r="101" spans="1:5" ht="42" x14ac:dyDescent="0.2">
      <c r="A101" s="25">
        <v>7200</v>
      </c>
      <c r="B101" s="21">
        <f t="shared" si="3"/>
        <v>7200</v>
      </c>
      <c r="C101" s="25" t="s">
        <v>330</v>
      </c>
      <c r="D101" s="21" t="str">
        <f t="shared" si="6"/>
        <v xml:space="preserve">						{"7200", "Warrant Officer (Line) billet requiring specialty of a Diving Officer"},</v>
      </c>
      <c r="E101" s="21" t="str">
        <f t="shared" si="5"/>
        <v>insert into FTS_officer_billet_codes (suggest_text_1, suggest_text_2, source) values ('7200','Warrant Officer (Line) billet requiring specialty of a Diving Officer','NAVPERS 15839I VOL I (JAN 2026)');</v>
      </c>
    </row>
    <row r="102" spans="1:5" ht="42" x14ac:dyDescent="0.2">
      <c r="A102" s="25">
        <v>7260</v>
      </c>
      <c r="B102" s="21">
        <f t="shared" si="3"/>
        <v>7260</v>
      </c>
      <c r="C102" s="25" t="s">
        <v>333</v>
      </c>
      <c r="D102" s="21" t="str">
        <f t="shared" si="6"/>
        <v xml:space="preserve">						{"7260", "Warrant Officer (Line) billet requiring supervision in Ordnance Technician specialty (Submarine)"},</v>
      </c>
      <c r="E102" s="21" t="str">
        <f t="shared" si="5"/>
        <v>insert into FTS_officer_billet_codes (suggest_text_1, suggest_text_2, source) values ('7260','Warrant Officer (Line) billet requiring supervision in Ordnance Technician specialty (Submarine)','NAVPERS 15839I VOL I (JAN 2026)');</v>
      </c>
    </row>
    <row r="103" spans="1:5" ht="42" x14ac:dyDescent="0.2">
      <c r="A103" s="25">
        <v>7280</v>
      </c>
      <c r="B103" s="21">
        <f t="shared" si="3"/>
        <v>7280</v>
      </c>
      <c r="C103" s="25" t="s">
        <v>336</v>
      </c>
      <c r="D103" s="21" t="str">
        <f t="shared" si="6"/>
        <v xml:space="preserve">						{"7280", "Warrant Officer (Line) billet requiring specialty of an Acoustic Technician"},</v>
      </c>
      <c r="E103" s="21" t="str">
        <f t="shared" si="5"/>
        <v>insert into FTS_officer_billet_codes (suggest_text_1, suggest_text_2, source) values ('7280','Warrant Officer (Line) billet requiring specialty of an Acoustic Technician','NAVPERS 15839I VOL I (JAN 2026)');</v>
      </c>
    </row>
    <row r="104" spans="1:5" ht="42" x14ac:dyDescent="0.2">
      <c r="A104" s="25">
        <v>7310</v>
      </c>
      <c r="B104" s="21">
        <f t="shared" si="3"/>
        <v>7310</v>
      </c>
      <c r="C104" s="25" t="s">
        <v>340</v>
      </c>
      <c r="D104" s="21" t="str">
        <f t="shared" si="6"/>
        <v xml:space="preserve">						{"7310", "Warrant Officer (Line) billet requiring supervision in Aviation Boatswain specialty"},</v>
      </c>
      <c r="E104" s="21" t="str">
        <f t="shared" si="5"/>
        <v>insert into FTS_officer_billet_codes (suggest_text_1, suggest_text_2, source) values ('7310','Warrant Officer (Line) billet requiring supervision in Aviation Boatswain specialty','NAVPERS 15839I VOL I (JAN 2026)');</v>
      </c>
    </row>
    <row r="105" spans="1:5" ht="42" x14ac:dyDescent="0.2">
      <c r="A105" s="25">
        <v>7320</v>
      </c>
      <c r="B105" s="21">
        <f t="shared" si="3"/>
        <v>7320</v>
      </c>
      <c r="C105" s="25" t="s">
        <v>343</v>
      </c>
      <c r="D105" s="21" t="str">
        <f t="shared" si="6"/>
        <v xml:space="preserve">						{"7320", "Warrant Officer (Line) billet requiring supervision in Aviation Operations Technician specialty"},</v>
      </c>
      <c r="E105" s="21" t="str">
        <f t="shared" si="5"/>
        <v>insert into FTS_officer_billet_codes (suggest_text_1, suggest_text_2, source) values ('7320','Warrant Officer (Line) billet requiring supervision in Aviation Operations Technician specialty','NAVPERS 15839I VOL I (JAN 2026)');</v>
      </c>
    </row>
    <row r="106" spans="1:5" ht="42" x14ac:dyDescent="0.2">
      <c r="A106" s="25" t="s">
        <v>346</v>
      </c>
      <c r="B106" s="21" t="str">
        <f t="shared" si="3"/>
        <v>7321</v>
      </c>
      <c r="C106" s="25" t="s">
        <v>347</v>
      </c>
      <c r="D106" s="21" t="str">
        <f t="shared" si="6"/>
        <v xml:space="preserve">						{"7321", "Warrant Officer (Line) billet, Code 1 - Operational Flying, requiring the specialty of an Aviation Operations (ASW) Technician who is aeronautically designated"},</v>
      </c>
      <c r="E106" s="21" t="str">
        <f t="shared" si="5"/>
        <v>insert into FTS_officer_billet_codes (suggest_text_1, suggest_text_2, source) values ('7321','Warrant Officer (Line) billet, Code 1 - Operational Flying, requiring the specialty of an Aviation Operations (ASW) Technician who is aeronautically designated','NAVPERS 15839I VOL I (JAN 2026)');</v>
      </c>
    </row>
    <row r="107" spans="1:5" ht="42" x14ac:dyDescent="0.2">
      <c r="A107" s="25">
        <v>7330</v>
      </c>
      <c r="B107" s="21">
        <f t="shared" si="3"/>
        <v>7330</v>
      </c>
      <c r="C107" s="25" t="s">
        <v>348</v>
      </c>
      <c r="D107" s="21" t="str">
        <f t="shared" si="6"/>
        <v xml:space="preserve">						{"7330", "Warrant Officer (Line) billet requiring supervision in Aviation Maintenance Technician specialty"},</v>
      </c>
      <c r="E107" s="21" t="str">
        <f t="shared" si="5"/>
        <v>insert into FTS_officer_billet_codes (suggest_text_1, suggest_text_2, source) values ('7330','Warrant Officer (Line) billet requiring supervision in Aviation Maintenance Technician specialty','NAVPERS 15839I VOL I (JAN 2026)');</v>
      </c>
    </row>
    <row r="108" spans="1:5" ht="42" x14ac:dyDescent="0.2">
      <c r="A108" s="25">
        <v>7360</v>
      </c>
      <c r="B108" s="21">
        <f t="shared" si="3"/>
        <v>7360</v>
      </c>
      <c r="C108" s="25" t="s">
        <v>351</v>
      </c>
      <c r="D108" s="21" t="str">
        <f t="shared" si="6"/>
        <v xml:space="preserve">						{"7360", "Warrant Officer (Line) billet requiring supervision in Aviation Ordnance Technician specialty"},</v>
      </c>
      <c r="E108" s="21" t="str">
        <f t="shared" si="5"/>
        <v>insert into FTS_officer_billet_codes (suggest_text_1, suggest_text_2, source) values ('7360','Warrant Officer (Line) billet requiring supervision in Aviation Ordnance Technician specialty','NAVPERS 15839I VOL I (JAN 2026)');</v>
      </c>
    </row>
    <row r="109" spans="1:5" ht="42" x14ac:dyDescent="0.2">
      <c r="A109" s="25">
        <v>7371</v>
      </c>
      <c r="B109" s="21">
        <f t="shared" si="3"/>
        <v>7371</v>
      </c>
      <c r="C109" s="25" t="s">
        <v>354</v>
      </c>
      <c r="D109" s="21" t="str">
        <f t="shared" si="6"/>
        <v xml:space="preserve">						{"7371", "Warrant Officer (Line) billet, Code 1 – Operational Flying, requiring the specialty of piloting Unmanned Aerial Vehicles who is aeronautically designated."},</v>
      </c>
      <c r="E109" s="21" t="str">
        <f t="shared" si="5"/>
        <v>insert into FTS_officer_billet_codes (suggest_text_1, suggest_text_2, source) values ('7371','Warrant Officer (Line) billet, Code 1 – Operational Flying, requiring the specialty of piloting Unmanned Aerial Vehicles who is aeronautically designated.','NAVPERS 15839I VOL I (JAN 2026)');</v>
      </c>
    </row>
    <row r="110" spans="1:5" ht="42" x14ac:dyDescent="0.2">
      <c r="A110" s="25">
        <v>7400</v>
      </c>
      <c r="B110" s="21">
        <f t="shared" si="3"/>
        <v>7400</v>
      </c>
      <c r="C110" s="25" t="s">
        <v>448</v>
      </c>
      <c r="D110" s="21" t="str">
        <f t="shared" si="6"/>
        <v xml:space="preserve">						{"7400", "Warrant Officer (Line) billet requiring supervision in Nuclear Power Technician specialty."},</v>
      </c>
      <c r="E110" s="21" t="str">
        <f t="shared" si="5"/>
        <v>insert into FTS_officer_billet_codes (suggest_text_1, suggest_text_2, source) values ('7400','Warrant Officer (Line) billet requiring supervision in Nuclear Power Technician specialty.','NAVPERS 15839I VOL I (JAN 2026)');</v>
      </c>
    </row>
    <row r="111" spans="1:5" ht="42" x14ac:dyDescent="0.2">
      <c r="A111" s="25">
        <v>7410</v>
      </c>
      <c r="B111" s="21">
        <f t="shared" si="3"/>
        <v>7410</v>
      </c>
      <c r="C111" s="25" t="s">
        <v>360</v>
      </c>
      <c r="D111" s="21" t="str">
        <f t="shared" si="6"/>
        <v xml:space="preserve">						{"7410", "Warrant Officer (Line) billet requiring supervision in Ship's Clerk specialty"},</v>
      </c>
      <c r="E111" s="21" t="str">
        <f t="shared" si="5"/>
        <v>insert into FTS_officer_billet_codes (suggest_text_1, suggest_text_2, source) values ('7410','Warrant Officer (Line) billet requiring supervision in Ship''s Clerk specialty','NAVPERS 15839I VOL I (JAN 2026)');</v>
      </c>
    </row>
    <row r="112" spans="1:5" ht="42" x14ac:dyDescent="0.2">
      <c r="A112" s="25">
        <v>7490</v>
      </c>
      <c r="B112" s="21">
        <f t="shared" ref="B112:B120" si="7">+IF(LEN(A112)=5,RIGHT(A112,4),A112)</f>
        <v>7490</v>
      </c>
      <c r="C112" s="25" t="s">
        <v>363</v>
      </c>
      <c r="D112" s="21" t="str">
        <f t="shared" si="6"/>
        <v xml:space="preserve">						{"7490", "Warrant Officer (Line) billet requiring supervision in Security Technician specialty"},</v>
      </c>
      <c r="E112" s="21" t="str">
        <f t="shared" si="5"/>
        <v>insert into FTS_officer_billet_codes (suggest_text_1, suggest_text_2, source) values ('7490','Warrant Officer (Line) billet requiring supervision in Security Technician specialty','NAVPERS 15839I VOL I (JAN 2026)');</v>
      </c>
    </row>
    <row r="113" spans="1:5" ht="42" x14ac:dyDescent="0.2">
      <c r="A113" s="25" t="s">
        <v>369</v>
      </c>
      <c r="B113" s="21" t="str">
        <f t="shared" si="7"/>
        <v>7520</v>
      </c>
      <c r="C113" s="25" t="s">
        <v>370</v>
      </c>
      <c r="D113" s="21" t="str">
        <f t="shared" si="6"/>
        <v xml:space="preserve">						{"7520", "Warrant Officer (Staff Corps) billet requiring supervision in Food Service specialty"},</v>
      </c>
      <c r="E113" s="21" t="str">
        <f t="shared" si="5"/>
        <v>insert into FTS_officer_billet_codes (suggest_text_1, suggest_text_2, source) values ('7520','Warrant Officer (Staff Corps) billet requiring supervision in Food Service specialty','NAVPERS 15839I VOL I (JAN 2026)');</v>
      </c>
    </row>
    <row r="114" spans="1:5" ht="42" x14ac:dyDescent="0.2">
      <c r="A114" s="25">
        <v>7530</v>
      </c>
      <c r="B114" s="21">
        <f t="shared" si="7"/>
        <v>7530</v>
      </c>
      <c r="C114" s="25" t="s">
        <v>373</v>
      </c>
      <c r="D114" s="21" t="str">
        <f t="shared" si="6"/>
        <v xml:space="preserve">						{"7530", "Warrant Officer (Staff Corps) billet requiring supervision in Civil Engineering specialty"},</v>
      </c>
      <c r="E114" s="21" t="str">
        <f t="shared" si="5"/>
        <v>insert into FTS_officer_billet_codes (suggest_text_1, suggest_text_2, source) values ('7530','Warrant Officer (Staff Corps) billet requiring supervision in Civil Engineering specialty','NAVPERS 15839I VOL I (JAN 2026)');</v>
      </c>
    </row>
    <row r="115" spans="1:5" ht="42" x14ac:dyDescent="0.2">
      <c r="A115" s="25">
        <v>7560</v>
      </c>
      <c r="B115" s="21">
        <f t="shared" si="7"/>
        <v>7560</v>
      </c>
      <c r="C115" s="25" t="s">
        <v>376</v>
      </c>
      <c r="D115" s="21" t="str">
        <f t="shared" si="6"/>
        <v xml:space="preserve">						{"7560", "Warrant Officer (Staff Corps) billet requiring Technical Nurse specialty"},</v>
      </c>
      <c r="E115" s="21" t="str">
        <f t="shared" si="5"/>
        <v>insert into FTS_officer_billet_codes (suggest_text_1, suggest_text_2, source) values ('7560','Warrant Officer (Staff Corps) billet requiring Technical Nurse specialty','NAVPERS 15839I VOL I (JAN 2026)');</v>
      </c>
    </row>
    <row r="116" spans="1:5" ht="42" x14ac:dyDescent="0.2">
      <c r="A116" s="25">
        <v>7800</v>
      </c>
      <c r="B116" s="21">
        <f t="shared" si="7"/>
        <v>7800</v>
      </c>
      <c r="C116" s="25" t="s">
        <v>382</v>
      </c>
      <c r="D116" s="21" t="str">
        <f t="shared" si="6"/>
        <v xml:space="preserve">						{"7800", "Warrant Officer (Line) billet requiring supervision Oceanography"},</v>
      </c>
      <c r="E116" s="21" t="str">
        <f t="shared" si="5"/>
        <v>insert into FTS_officer_billet_codes (suggest_text_1, suggest_text_2, source) values ('7800','Warrant Officer (Line) billet requiring supervision Oceanography','NAVPERS 15839I VOL I (JAN 2026)');</v>
      </c>
    </row>
    <row r="117" spans="1:5" ht="42" x14ac:dyDescent="0.2">
      <c r="A117" s="25">
        <v>7810</v>
      </c>
      <c r="B117" s="21">
        <f t="shared" si="7"/>
        <v>7810</v>
      </c>
      <c r="C117" s="25" t="s">
        <v>385</v>
      </c>
      <c r="D117" s="21" t="str">
        <f t="shared" si="6"/>
        <v xml:space="preserve">						{"7810", "Warrant Officer (Line) billet requiring supervision in Cryptologic Warfare Technician specialty"},</v>
      </c>
      <c r="E117" s="21" t="str">
        <f t="shared" si="5"/>
        <v>insert into FTS_officer_billet_codes (suggest_text_1, suggest_text_2, source) values ('7810','Warrant Officer (Line) billet requiring supervision in Cryptologic Warfare Technician specialty','NAVPERS 15839I VOL I (JAN 2026)');</v>
      </c>
    </row>
    <row r="118" spans="1:5" ht="42" x14ac:dyDescent="0.2">
      <c r="A118" s="25">
        <v>7820</v>
      </c>
      <c r="B118" s="21">
        <f t="shared" si="7"/>
        <v>7820</v>
      </c>
      <c r="C118" s="25" t="s">
        <v>387</v>
      </c>
      <c r="D118" s="21" t="str">
        <f t="shared" si="6"/>
        <v xml:space="preserve">						{"7820", "Warrant Officer (Line) billet requiring supervision in Information Systems Technician specialty"},</v>
      </c>
      <c r="E118" s="21" t="str">
        <f t="shared" si="5"/>
        <v>insert into FTS_officer_billet_codes (suggest_text_1, suggest_text_2, source) values ('7820','Warrant Officer (Line) billet requiring supervision in Information Systems Technician specialty','NAVPERS 15839I VOL I (JAN 2026)');</v>
      </c>
    </row>
    <row r="119" spans="1:5" ht="42" x14ac:dyDescent="0.2">
      <c r="A119" s="25">
        <v>7830</v>
      </c>
      <c r="B119" s="21">
        <f t="shared" si="7"/>
        <v>7830</v>
      </c>
      <c r="C119" s="25" t="s">
        <v>389</v>
      </c>
      <c r="D119" s="21" t="str">
        <f t="shared" si="6"/>
        <v xml:space="preserve">						{"7830", "Warrant Officer (Line) billet requiring supervision in Intelligence Technician specialty"},</v>
      </c>
      <c r="E119" s="21" t="str">
        <f t="shared" si="5"/>
        <v>insert into FTS_officer_billet_codes (suggest_text_1, suggest_text_2, source) values ('7830','Warrant Officer (Line) billet requiring supervision in Intelligence Technician specialty','NAVPERS 15839I VOL I (JAN 2026)');</v>
      </c>
    </row>
    <row r="120" spans="1:5" ht="42" x14ac:dyDescent="0.2">
      <c r="A120" s="25">
        <v>7840</v>
      </c>
      <c r="B120" s="21">
        <f t="shared" si="7"/>
        <v>7840</v>
      </c>
      <c r="C120" s="25" t="s">
        <v>391</v>
      </c>
      <c r="D120" s="21" t="str">
        <f t="shared" si="6"/>
        <v xml:space="preserve">						{"7840", "Warrant Officer (Line) billet requiring supervision in Cyber Warfare specialty"},</v>
      </c>
      <c r="E120" s="21" t="str">
        <f t="shared" si="5"/>
        <v>insert into FTS_officer_billet_codes (suggest_text_1, suggest_text_2, source) values ('7840','Warrant Officer (Line) billet requiring supervision in Cyber Warfare specialty','NAVPERS 15839I VOL I (JAN 2026)');</v>
      </c>
    </row>
  </sheetData>
  <autoFilter ref="A1:E149" xr:uid="{A41005AD-5B9F-2447-9473-BA192A3A128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AC42-5757-5449-885A-BE1629DCAA63}">
  <dimension ref="A1:E218"/>
  <sheetViews>
    <sheetView tabSelected="1" workbookViewId="0">
      <pane ySplit="1" topLeftCell="A2" activePane="bottomLeft" state="frozen"/>
      <selection pane="bottomLeft" activeCell="E105" sqref="E2:E105"/>
    </sheetView>
  </sheetViews>
  <sheetFormatPr baseColWidth="10" defaultColWidth="9.1640625" defaultRowHeight="15" x14ac:dyDescent="0.2"/>
  <cols>
    <col min="1" max="1" width="9.1640625" style="24"/>
    <col min="2" max="2" width="8" style="24" customWidth="1"/>
    <col min="3" max="3" width="46.6640625" style="24" customWidth="1"/>
    <col min="4" max="4" width="65" style="24" customWidth="1"/>
    <col min="5" max="5" width="54" style="24" customWidth="1"/>
    <col min="6" max="16384" width="9.1640625" style="4"/>
  </cols>
  <sheetData>
    <row r="1" spans="1:5" ht="70" x14ac:dyDescent="0.2">
      <c r="A1" s="18" t="s">
        <v>5</v>
      </c>
      <c r="B1" s="18" t="s">
        <v>435</v>
      </c>
      <c r="C1" s="18" t="s">
        <v>440</v>
      </c>
      <c r="D1" s="18" t="s">
        <v>441</v>
      </c>
      <c r="E1" s="18" t="s">
        <v>442</v>
      </c>
    </row>
    <row r="2" spans="1:5" ht="56" x14ac:dyDescent="0.2">
      <c r="A2" s="21" t="s">
        <v>14</v>
      </c>
      <c r="B2" s="21" t="str">
        <f t="shared" ref="B2:B33" si="0">+RIGHT(A2,4)</f>
        <v>110X</v>
      </c>
      <c r="C2" s="21" t="s">
        <v>15</v>
      </c>
      <c r="D2" s="21" t="str">
        <f t="shared" ref="D2:D33" si="1">+_xlfn.CONCAT("						{""",B2,""", """,TRIM(C2),"""},")</f>
        <v xml:space="preserve">						{"110X", "An Unrestricted Line Officer who is not qualified in any warfare specialty or in training for any warfare specialty"},</v>
      </c>
      <c r="E2" s="21" t="str">
        <f>"insert into FTS_officer_designator_codes (suggest_text_1, suggest_text_2, source) values ('"
 &amp; SUBSTITUTE(B2, "'", "''") &amp; "','"
 &amp; SUBSTITUTE(TRIM(C2), "'", "''") &amp; "','NAVPERS 15839I VOL I (JAN 2026)');"</f>
        <v>insert into FTS_officer_designator_codes (suggest_text_1, suggest_text_2, source) values ('110X','An Unrestricted Line Officer who is not qualified in any warfare specialty or in training for any warfare specialty','NAVPERS 15839I VOL I (JAN 2026)');</v>
      </c>
    </row>
    <row r="3" spans="1:5" ht="56" x14ac:dyDescent="0.2">
      <c r="A3" s="21" t="s">
        <v>17</v>
      </c>
      <c r="B3" s="21" t="str">
        <f t="shared" si="0"/>
        <v>111X</v>
      </c>
      <c r="C3" s="21" t="s">
        <v>18</v>
      </c>
      <c r="D3" s="21" t="str">
        <f t="shared" si="1"/>
        <v xml:space="preserve">						{"111X", "An Unrestricted Line Officer who is qualified in Surface Warfare"},</v>
      </c>
      <c r="E3" s="21" t="str">
        <f t="shared" ref="E3:E66" si="2">"insert into FTS_officer_designator_codes (suggest_text_1, suggest_text_2, source) values ('"
 &amp; SUBSTITUTE(B3, "'", "''") &amp; "','"
 &amp; SUBSTITUTE(TRIM(C3), "'", "''") &amp; "','NAVPERS 15839I VOL I (JAN 2026)');"</f>
        <v>insert into FTS_officer_designator_codes (suggest_text_1, suggest_text_2, source) values ('111X','An Unrestricted Line Officer who is qualified in Surface Warfare','NAVPERS 15839I VOL I (JAN 2026)');</v>
      </c>
    </row>
    <row r="4" spans="1:5" ht="56" x14ac:dyDescent="0.2">
      <c r="A4" s="21" t="s">
        <v>20</v>
      </c>
      <c r="B4" s="21" t="str">
        <f t="shared" si="0"/>
        <v>112X</v>
      </c>
      <c r="C4" s="21" t="s">
        <v>21</v>
      </c>
      <c r="D4" s="21" t="str">
        <f t="shared" si="1"/>
        <v xml:space="preserve">						{"112X", "An Unrestricted Line Officer who is qualified in Submarine Warfare"},</v>
      </c>
      <c r="E4" s="21" t="str">
        <f t="shared" si="2"/>
        <v>insert into FTS_officer_designator_codes (suggest_text_1, suggest_text_2, source) values ('112X','An Unrestricted Line Officer who is qualified in Submarine Warfare','NAVPERS 15839I VOL I (JAN 2026)');</v>
      </c>
    </row>
    <row r="5" spans="1:5" ht="56" x14ac:dyDescent="0.2">
      <c r="A5" s="21" t="s">
        <v>23</v>
      </c>
      <c r="B5" s="21" t="str">
        <f t="shared" si="0"/>
        <v>113X</v>
      </c>
      <c r="C5" s="21" t="s">
        <v>24</v>
      </c>
      <c r="D5" s="21" t="str">
        <f t="shared" si="1"/>
        <v xml:space="preserve">						{"113X", "An Unrestricted Line Officer who is qualified in Special Warfare"},</v>
      </c>
      <c r="E5" s="21" t="str">
        <f t="shared" si="2"/>
        <v>insert into FTS_officer_designator_codes (suggest_text_1, suggest_text_2, source) values ('113X','An Unrestricted Line Officer who is qualified in Special Warfare','NAVPERS 15839I VOL I (JAN 2026)');</v>
      </c>
    </row>
    <row r="6" spans="1:5" ht="56" x14ac:dyDescent="0.2">
      <c r="A6" s="21" t="s">
        <v>26</v>
      </c>
      <c r="B6" s="21" t="str">
        <f t="shared" si="0"/>
        <v>114X</v>
      </c>
      <c r="C6" s="21" t="s">
        <v>27</v>
      </c>
      <c r="D6" s="21" t="str">
        <f t="shared" si="1"/>
        <v xml:space="preserve">						{"114X", "An Unrestricted Line Officer who is qualified in Explosive Ordnance Disposal (EOD) Warfare"},</v>
      </c>
      <c r="E6" s="21" t="str">
        <f t="shared" si="2"/>
        <v>insert into FTS_officer_designator_codes (suggest_text_1, suggest_text_2, source) values ('114X','An Unrestricted Line Officer who is qualified in Explosive Ordnance Disposal (EOD) Warfare','NAVPERS 15839I VOL I (JAN 2026)');</v>
      </c>
    </row>
    <row r="7" spans="1:5" ht="56" x14ac:dyDescent="0.2">
      <c r="A7" s="21" t="s">
        <v>29</v>
      </c>
      <c r="B7" s="21" t="str">
        <f t="shared" si="0"/>
        <v>116X</v>
      </c>
      <c r="C7" s="21" t="s">
        <v>30</v>
      </c>
      <c r="D7" s="21" t="str">
        <f t="shared" si="1"/>
        <v xml:space="preserve">						{"116X", "Unrestricted Line Officer who is in training for Surface Warfare qualification"},</v>
      </c>
      <c r="E7" s="21" t="str">
        <f t="shared" si="2"/>
        <v>insert into FTS_officer_designator_codes (suggest_text_1, suggest_text_2, source) values ('116X','Unrestricted Line Officer who is in training for Surface Warfare qualification','NAVPERS 15839I VOL I (JAN 2026)');</v>
      </c>
    </row>
    <row r="8" spans="1:5" ht="56" x14ac:dyDescent="0.2">
      <c r="A8" s="21" t="s">
        <v>32</v>
      </c>
      <c r="B8" s="21" t="str">
        <f t="shared" si="0"/>
        <v>117X</v>
      </c>
      <c r="C8" s="21" t="s">
        <v>33</v>
      </c>
      <c r="D8" s="21" t="str">
        <f t="shared" si="1"/>
        <v xml:space="preserve">						{"117X", "Unrestricted Line Officer who is in training for Submarine Warfare qualification"},</v>
      </c>
      <c r="E8" s="21" t="str">
        <f t="shared" si="2"/>
        <v>insert into FTS_officer_designator_codes (suggest_text_1, suggest_text_2, source) values ('117X','Unrestricted Line Officer who is in training for Submarine Warfare qualification','NAVPERS 15839I VOL I (JAN 2026)');</v>
      </c>
    </row>
    <row r="9" spans="1:5" ht="56" x14ac:dyDescent="0.2">
      <c r="A9" s="21" t="s">
        <v>35</v>
      </c>
      <c r="B9" s="21" t="str">
        <f t="shared" si="0"/>
        <v>118X</v>
      </c>
      <c r="C9" s="21" t="s">
        <v>36</v>
      </c>
      <c r="D9" s="21" t="str">
        <f t="shared" si="1"/>
        <v xml:space="preserve">						{"118X", "Unrestricted Line Officer who is in training for Special Warfare qualification"},</v>
      </c>
      <c r="E9" s="21" t="str">
        <f t="shared" si="2"/>
        <v>insert into FTS_officer_designator_codes (suggest_text_1, suggest_text_2, source) values ('118X','Unrestricted Line Officer who is in training for Special Warfare qualification','NAVPERS 15839I VOL I (JAN 2026)');</v>
      </c>
    </row>
    <row r="10" spans="1:5" ht="56" x14ac:dyDescent="0.2">
      <c r="A10" s="21" t="s">
        <v>38</v>
      </c>
      <c r="B10" s="21" t="str">
        <f t="shared" si="0"/>
        <v>119X</v>
      </c>
      <c r="C10" s="21" t="s">
        <v>39</v>
      </c>
      <c r="D10" s="21" t="str">
        <f t="shared" si="1"/>
        <v xml:space="preserve">						{"119X", "Unrestricted Line Officer who is in training for Explosive Ordnance Disposal qualification"},</v>
      </c>
      <c r="E10" s="21" t="str">
        <f t="shared" si="2"/>
        <v>insert into FTS_officer_designator_codes (suggest_text_1, suggest_text_2, source) values ('119X','Unrestricted Line Officer who is in training for Explosive Ordnance Disposal qualification','NAVPERS 15839I VOL I (JAN 2026)');</v>
      </c>
    </row>
    <row r="11" spans="1:5" ht="70" x14ac:dyDescent="0.2">
      <c r="A11" s="21" t="s">
        <v>46</v>
      </c>
      <c r="B11" s="21" t="str">
        <f t="shared" si="0"/>
        <v>120X</v>
      </c>
      <c r="C11" s="21" t="s">
        <v>56</v>
      </c>
      <c r="D11" s="21" t="str">
        <f t="shared" si="1"/>
        <v xml:space="preserve">						{"120X", "Special Duty Officer - Human Resource Officer A Restricted Line Officer of the Human Resources Community who will plan, program and execute life-cycle management of our Navy's most important resource - people."},</v>
      </c>
      <c r="E11" s="21" t="str">
        <f t="shared" si="2"/>
        <v>insert into FTS_officer_designator_codes (suggest_text_1, suggest_text_2, source) values ('120X','Special Duty Officer - Human Resource Officer A Restricted Line Officer of the Human Resources Community who will plan, program and execute life-cycle management of our Navy''s most important resource - people.','NAVPERS 15839I VOL I (JAN 2026)');</v>
      </c>
    </row>
    <row r="12" spans="1:5" ht="56" x14ac:dyDescent="0.2">
      <c r="A12" s="21" t="s">
        <v>48</v>
      </c>
      <c r="B12" s="21" t="str">
        <f t="shared" si="0"/>
        <v>121X</v>
      </c>
      <c r="C12" s="21" t="s">
        <v>49</v>
      </c>
      <c r="D12" s="21" t="str">
        <f t="shared" si="1"/>
        <v xml:space="preserve">						{"121X", "Restricted Line Officer (Nuclear Power School Instructor) regulated by Program Authorization 100B."},</v>
      </c>
      <c r="E12" s="21" t="str">
        <f t="shared" si="2"/>
        <v>insert into FTS_officer_designator_codes (suggest_text_1, suggest_text_2, source) values ('121X','Restricted Line Officer (Nuclear Power School Instructor) regulated by Program Authorization 100B.','NAVPERS 15839I VOL I (JAN 2026)');</v>
      </c>
    </row>
    <row r="13" spans="1:5" ht="56" x14ac:dyDescent="0.2">
      <c r="A13" s="21">
        <v>1230</v>
      </c>
      <c r="B13" s="21" t="str">
        <f t="shared" si="0"/>
        <v>1230</v>
      </c>
      <c r="C13" s="21" t="s">
        <v>52</v>
      </c>
      <c r="D13" s="21" t="str">
        <f t="shared" si="1"/>
        <v xml:space="preserve">						{"1230", "Restricted Line Officer (Permanent Military Professor) regulated by OPNAVINST 1520.40"},</v>
      </c>
      <c r="E13" s="21" t="str">
        <f t="shared" si="2"/>
        <v>insert into FTS_officer_designator_codes (suggest_text_1, suggest_text_2, source) values ('1230','Restricted Line Officer (Permanent Military Professor) regulated by OPNAVINST 1520.40','NAVPERS 15839I VOL I (JAN 2026)');</v>
      </c>
    </row>
    <row r="14" spans="1:5" ht="56" x14ac:dyDescent="0.2">
      <c r="A14" s="21" t="s">
        <v>54</v>
      </c>
      <c r="B14" s="21" t="str">
        <f t="shared" si="0"/>
        <v>128X</v>
      </c>
      <c r="C14" s="21" t="s">
        <v>55</v>
      </c>
      <c r="D14" s="21" t="str">
        <f t="shared" si="1"/>
        <v xml:space="preserve">						{"128X", "Special Duty Officer-Permanent Professional Recruiter Officer (Reserve Recruiting) (LT and LCDR)"},</v>
      </c>
      <c r="E14" s="21" t="str">
        <f t="shared" si="2"/>
        <v>insert into FTS_officer_designator_codes (suggest_text_1, suggest_text_2, source) values ('128X','Special Duty Officer-Permanent Professional Recruiter Officer (Reserve Recruiting) (LT and LCDR)','NAVPERS 15839I VOL I (JAN 2026)');</v>
      </c>
    </row>
    <row r="15" spans="1:5" ht="70" x14ac:dyDescent="0.2">
      <c r="A15" s="21" t="s">
        <v>61</v>
      </c>
      <c r="B15" s="21" t="str">
        <f t="shared" si="0"/>
        <v>130X</v>
      </c>
      <c r="C15" s="21" t="s">
        <v>62</v>
      </c>
      <c r="D15" s="21" t="str">
        <f t="shared" si="1"/>
        <v xml:space="preserve">						{"130X", "An Unrestricted Line Officer who is a member of the aeronautical community and whose rating as a pilot or NFO has been terminated. (These officers may be assigned to 1000, 1050, 1300, 1310 or 1320 designated billets, if otherwise qualified.)"},</v>
      </c>
      <c r="E15" s="21" t="str">
        <f t="shared" si="2"/>
        <v>insert into FTS_officer_designator_codes (suggest_text_1, suggest_text_2, source) values ('130X','An Unrestricted Line Officer who is a member of the aeronautical community and whose rating as a pilot or NFO has been terminated. (These officers may be assigned to 1000, 1050, 1300, 1310 or 1320 designated billets, if otherwise qualified.)','NAVPERS 15839I VOL I (JAN 2026)');</v>
      </c>
    </row>
    <row r="16" spans="1:5" ht="56" x14ac:dyDescent="0.2">
      <c r="A16" s="21" t="s">
        <v>69</v>
      </c>
      <c r="B16" s="21" t="str">
        <f t="shared" si="0"/>
        <v>131X</v>
      </c>
      <c r="C16" s="21" t="s">
        <v>70</v>
      </c>
      <c r="D16" s="21" t="str">
        <f t="shared" si="1"/>
        <v xml:space="preserve">						{"131X", "An Unrestricted Line Officer who is qualified for duty involving flying heavier-than-air, or heavier and lighter-than-air type of aircraft as a pilot"},</v>
      </c>
      <c r="E16" s="21" t="str">
        <f t="shared" si="2"/>
        <v>insert into FTS_officer_designator_codes (suggest_text_1, suggest_text_2, source) values ('131X','An Unrestricted Line Officer who is qualified for duty involving flying heavier-than-air, or heavier and lighter-than-air type of aircraft as a pilot','NAVPERS 15839I VOL I (JAN 2026)');</v>
      </c>
    </row>
    <row r="17" spans="1:5" ht="56" x14ac:dyDescent="0.2">
      <c r="A17" s="21" t="s">
        <v>78</v>
      </c>
      <c r="B17" s="21" t="str">
        <f t="shared" si="0"/>
        <v>132X</v>
      </c>
      <c r="C17" s="21" t="s">
        <v>79</v>
      </c>
      <c r="D17" s="21" t="str">
        <f t="shared" si="1"/>
        <v xml:space="preserve">						{"132X", "An Unrestricted Line Officer who is qualified for duty involving flying heavier-than-air or heavier and lighter-than-air type aircraft as a Naval Flight Officer"},</v>
      </c>
      <c r="E17" s="21" t="str">
        <f t="shared" si="2"/>
        <v>insert into FTS_officer_designator_codes (suggest_text_1, suggest_text_2, source) values ('132X','An Unrestricted Line Officer who is qualified for duty involving flying heavier-than-air or heavier and lighter-than-air type aircraft as a Naval Flight Officer','NAVPERS 15839I VOL I (JAN 2026)');</v>
      </c>
    </row>
    <row r="18" spans="1:5" ht="56" x14ac:dyDescent="0.2">
      <c r="A18" s="21" t="s">
        <v>86</v>
      </c>
      <c r="B18" s="21" t="str">
        <f t="shared" si="0"/>
        <v>137X</v>
      </c>
      <c r="C18" s="21" t="s">
        <v>87</v>
      </c>
      <c r="D18" s="21" t="str">
        <f t="shared" si="1"/>
        <v xml:space="preserve">						{"137X", "An Unrestricted Line Officer who is in training for duty involving flying as a Naval Flight Officer"},</v>
      </c>
      <c r="E18" s="21" t="str">
        <f t="shared" si="2"/>
        <v>insert into FTS_officer_designator_codes (suggest_text_1, suggest_text_2, source) values ('137X','An Unrestricted Line Officer who is in training for duty involving flying as a Naval Flight Officer','NAVPERS 15839I VOL I (JAN 2026)');</v>
      </c>
    </row>
    <row r="19" spans="1:5" ht="56" x14ac:dyDescent="0.2">
      <c r="A19" s="21" t="s">
        <v>90</v>
      </c>
      <c r="B19" s="21" t="str">
        <f t="shared" si="0"/>
        <v>139X</v>
      </c>
      <c r="C19" s="21" t="s">
        <v>91</v>
      </c>
      <c r="D19" s="21" t="str">
        <f t="shared" si="1"/>
        <v xml:space="preserve">						{"139X", "An Unrestricted Line Officer who is in training for duty involving flying as a pilot"},</v>
      </c>
      <c r="E19" s="21" t="str">
        <f t="shared" si="2"/>
        <v>insert into FTS_officer_designator_codes (suggest_text_1, suggest_text_2, source) values ('139X','An Unrestricted Line Officer who is in training for duty involving flying as a pilot','NAVPERS 15839I VOL I (JAN 2026)');</v>
      </c>
    </row>
    <row r="20" spans="1:5" ht="84" x14ac:dyDescent="0.2">
      <c r="A20" s="21" t="s">
        <v>96</v>
      </c>
      <c r="B20" s="21" t="str">
        <f t="shared" si="0"/>
        <v>144X</v>
      </c>
      <c r="C20" s="21" t="s">
        <v>97</v>
      </c>
      <c r="D20" s="21" t="str">
        <f t="shared" si="1"/>
        <v xml:space="preserve">						{"144X", "Engineering Duty Officer who is qualified as a Ship Engineering specialist IAW MILPERSMAN 1210-190. They include specialists in Ship and Ship systems Engineering, Electronic Systems Engineering, Combat/Weapons Systems Engineering, and Ordnance Systems Engineering"},</v>
      </c>
      <c r="E20" s="21" t="str">
        <f t="shared" si="2"/>
        <v>insert into FTS_officer_designator_codes (suggest_text_1, suggest_text_2, source) values ('144X','Engineering Duty Officer who is qualified as a Ship Engineering specialist IAW MILPERSMAN 1210-190. They include specialists in Ship and Ship systems Engineering, Electronic Systems Engineering, Combat/Weapons Systems Engineering, and Ordnance Systems Engineering','NAVPERS 15839I VOL I (JAN 2026)');</v>
      </c>
    </row>
    <row r="21" spans="1:5" ht="56" x14ac:dyDescent="0.2">
      <c r="A21" s="21" t="s">
        <v>99</v>
      </c>
      <c r="B21" s="21" t="str">
        <f t="shared" si="0"/>
        <v>146X</v>
      </c>
      <c r="C21" s="21" t="s">
        <v>100</v>
      </c>
      <c r="D21" s="21" t="str">
        <f t="shared" si="1"/>
        <v xml:space="preserve">						{"146X", "Engineering Duty Officer who is in the process of completing the prescribed program leading to designation as 144X"},</v>
      </c>
      <c r="E21" s="21" t="str">
        <f t="shared" si="2"/>
        <v>insert into FTS_officer_designator_codes (suggest_text_1, suggest_text_2, source) values ('146X','Engineering Duty Officer who is in the process of completing the prescribed program leading to designation as 144X','NAVPERS 15839I VOL I (JAN 2026)');</v>
      </c>
    </row>
    <row r="22" spans="1:5" ht="56" x14ac:dyDescent="0.2">
      <c r="A22" s="21" t="s">
        <v>106</v>
      </c>
      <c r="B22" s="21" t="str">
        <f t="shared" si="0"/>
        <v>150X</v>
      </c>
      <c r="C22" s="21" t="s">
        <v>107</v>
      </c>
      <c r="D22" s="21" t="str">
        <f t="shared" si="1"/>
        <v xml:space="preserve">						{"150X", "A Restricted Line AED Flag Officer or Captain who was formerly either an AED officer (Aerospace Engineering--designator 151X) or an AMD officer (Aviation Maintenance--designator 152X)"},</v>
      </c>
      <c r="E22" s="21" t="str">
        <f t="shared" si="2"/>
        <v>insert into FTS_officer_designator_codes (suggest_text_1, suggest_text_2, source) values ('150X','A Restricted Line AED Flag Officer or Captain who was formerly either an AED officer (Aerospace Engineering--designator 151X) or an AMD officer (Aviation Maintenance--designator 152X)','NAVPERS 15839I VOL I (JAN 2026)');</v>
      </c>
    </row>
    <row r="23" spans="1:5" ht="56" x14ac:dyDescent="0.2">
      <c r="A23" s="21" t="s">
        <v>109</v>
      </c>
      <c r="B23" s="21" t="str">
        <f t="shared" si="0"/>
        <v>151X</v>
      </c>
      <c r="C23" s="21" t="s">
        <v>110</v>
      </c>
      <c r="D23" s="21" t="str">
        <f t="shared" si="1"/>
        <v xml:space="preserve">						{"151X", "Aerospace Engineering Duty Officer (Aerospace Engineering)"},</v>
      </c>
      <c r="E23" s="21" t="str">
        <f t="shared" si="2"/>
        <v>insert into FTS_officer_designator_codes (suggest_text_1, suggest_text_2, source) values ('151X','Aerospace Engineering Duty Officer (Aerospace Engineering)','NAVPERS 15839I VOL I (JAN 2026)');</v>
      </c>
    </row>
    <row r="24" spans="1:5" ht="56" x14ac:dyDescent="0.2">
      <c r="A24" s="21" t="s">
        <v>115</v>
      </c>
      <c r="B24" s="21" t="str">
        <f t="shared" si="0"/>
        <v>154X</v>
      </c>
      <c r="C24" s="21" t="s">
        <v>116</v>
      </c>
      <c r="D24" s="21" t="str">
        <f t="shared" si="1"/>
        <v xml:space="preserve">						{"154X", "Aviation Duty Officer"},</v>
      </c>
      <c r="E24" s="21" t="str">
        <f t="shared" si="2"/>
        <v>insert into FTS_officer_designator_codes (suggest_text_1, suggest_text_2, source) values ('154X','Aviation Duty Officer','NAVPERS 15839I VOL I (JAN 2026)');</v>
      </c>
    </row>
    <row r="25" spans="1:5" ht="56" x14ac:dyDescent="0.2">
      <c r="A25" s="21" t="s">
        <v>127</v>
      </c>
      <c r="B25" s="21" t="str">
        <f t="shared" si="0"/>
        <v>165X</v>
      </c>
      <c r="C25" s="21" t="s">
        <v>128</v>
      </c>
      <c r="D25" s="21" t="str">
        <f t="shared" si="1"/>
        <v xml:space="preserve">						{"165X", "Special Duty Officer - Public Affairs"},</v>
      </c>
      <c r="E25" s="21" t="str">
        <f t="shared" si="2"/>
        <v>insert into FTS_officer_designator_codes (suggest_text_1, suggest_text_2, source) values ('165X','Special Duty Officer - Public Affairs','NAVPERS 15839I VOL I (JAN 2026)');</v>
      </c>
    </row>
    <row r="26" spans="1:5" ht="56" x14ac:dyDescent="0.2">
      <c r="A26" s="21" t="s">
        <v>131</v>
      </c>
      <c r="B26" s="21" t="str">
        <f t="shared" si="0"/>
        <v>166X</v>
      </c>
      <c r="C26" s="21" t="s">
        <v>132</v>
      </c>
      <c r="D26" s="21" t="str">
        <f t="shared" si="1"/>
        <v xml:space="preserve">						{"166X", "Special Duty Officer – Strategic Sealift Officer (SSO)"},</v>
      </c>
      <c r="E26" s="21" t="str">
        <f t="shared" si="2"/>
        <v>insert into FTS_officer_designator_codes (suggest_text_1, suggest_text_2, source) values ('166X','Special Duty Officer – Strategic Sealift Officer (SSO)','NAVPERS 15839I VOL I (JAN 2026)');</v>
      </c>
    </row>
    <row r="27" spans="1:5" ht="56" x14ac:dyDescent="0.2">
      <c r="A27" s="21" t="s">
        <v>134</v>
      </c>
      <c r="B27" s="21" t="str">
        <f t="shared" si="0"/>
        <v>168X</v>
      </c>
      <c r="C27" s="21" t="s">
        <v>135</v>
      </c>
      <c r="D27" s="21" t="str">
        <f t="shared" si="1"/>
        <v xml:space="preserve">						{"168X", "Special Duty Officer (Reserve Recruiting)"},</v>
      </c>
      <c r="E27" s="21" t="str">
        <f t="shared" si="2"/>
        <v>insert into FTS_officer_designator_codes (suggest_text_1, suggest_text_2, source) values ('168X','Special Duty Officer (Reserve Recruiting)','NAVPERS 15839I VOL I (JAN 2026)');</v>
      </c>
    </row>
    <row r="28" spans="1:5" ht="56" x14ac:dyDescent="0.2">
      <c r="A28" s="21" t="s">
        <v>139</v>
      </c>
      <c r="B28" s="21" t="str">
        <f t="shared" si="0"/>
        <v>171X</v>
      </c>
      <c r="C28" s="21" t="s">
        <v>140</v>
      </c>
      <c r="D28" s="21" t="str">
        <f t="shared" si="1"/>
        <v xml:space="preserve">						{"171X", "Special Duty Officer qualified as a Foreign Area Officer"},</v>
      </c>
      <c r="E28" s="21" t="str">
        <f t="shared" si="2"/>
        <v>insert into FTS_officer_designator_codes (suggest_text_1, suggest_text_2, source) values ('171X','Special Duty Officer qualified as a Foreign Area Officer','NAVPERS 15839I VOL I (JAN 2026)');</v>
      </c>
    </row>
    <row r="29" spans="1:5" ht="56" x14ac:dyDescent="0.2">
      <c r="A29" s="21" t="s">
        <v>144</v>
      </c>
      <c r="B29" s="21" t="str">
        <f t="shared" si="0"/>
        <v>180X</v>
      </c>
      <c r="C29" s="21" t="s">
        <v>412</v>
      </c>
      <c r="D29" s="21" t="str">
        <f t="shared" si="1"/>
        <v xml:space="preserve">						{"180X", "Information Warfare Line Officer - Oceanography"},</v>
      </c>
      <c r="E29" s="21" t="str">
        <f t="shared" si="2"/>
        <v>insert into FTS_officer_designator_codes (suggest_text_1, suggest_text_2, source) values ('180X','Information Warfare Line Officer - Oceanography','NAVPERS 15839I VOL I (JAN 2026)');</v>
      </c>
    </row>
    <row r="30" spans="1:5" ht="56" x14ac:dyDescent="0.2">
      <c r="A30" s="21" t="s">
        <v>147</v>
      </c>
      <c r="B30" s="21" t="str">
        <f t="shared" si="0"/>
        <v>181X</v>
      </c>
      <c r="C30" s="21" t="s">
        <v>414</v>
      </c>
      <c r="D30" s="21" t="str">
        <f t="shared" si="1"/>
        <v xml:space="preserve">						{"181X", "Information Warfare Line Officer – Cryptologic Warfare Officer"},</v>
      </c>
      <c r="E30" s="21" t="str">
        <f t="shared" si="2"/>
        <v>insert into FTS_officer_designator_codes (suggest_text_1, suggest_text_2, source) values ('181X','Information Warfare Line Officer – Cryptologic Warfare Officer','NAVPERS 15839I VOL I (JAN 2026)');</v>
      </c>
    </row>
    <row r="31" spans="1:5" ht="56" x14ac:dyDescent="0.2">
      <c r="A31" s="21" t="s">
        <v>148</v>
      </c>
      <c r="B31" s="21" t="str">
        <f t="shared" si="0"/>
        <v>182X</v>
      </c>
      <c r="C31" s="21" t="s">
        <v>415</v>
      </c>
      <c r="D31" s="21" t="str">
        <f t="shared" si="1"/>
        <v xml:space="preserve">						{"182X", "Information Warfare Line Officer – Information Professional Officer"},</v>
      </c>
      <c r="E31" s="21" t="str">
        <f t="shared" si="2"/>
        <v>insert into FTS_officer_designator_codes (suggest_text_1, suggest_text_2, source) values ('182X','Information Warfare Line Officer – Information Professional Officer','NAVPERS 15839I VOL I (JAN 2026)');</v>
      </c>
    </row>
    <row r="32" spans="1:5" ht="56" x14ac:dyDescent="0.2">
      <c r="A32" s="21" t="s">
        <v>149</v>
      </c>
      <c r="B32" s="21" t="str">
        <f t="shared" si="0"/>
        <v>183X</v>
      </c>
      <c r="C32" s="21" t="s">
        <v>417</v>
      </c>
      <c r="D32" s="21" t="str">
        <f t="shared" si="1"/>
        <v xml:space="preserve">						{"183X", "Information Warfare Line Officer– Intelligence Officer"},</v>
      </c>
      <c r="E32" s="21" t="str">
        <f t="shared" si="2"/>
        <v>insert into FTS_officer_designator_codes (suggest_text_1, suggest_text_2, source) values ('183X','Information Warfare Line Officer– Intelligence Officer','NAVPERS 15839I VOL I (JAN 2026)');</v>
      </c>
    </row>
    <row r="33" spans="1:5" ht="56" x14ac:dyDescent="0.2">
      <c r="A33" s="21" t="s">
        <v>150</v>
      </c>
      <c r="B33" s="21" t="str">
        <f t="shared" si="0"/>
        <v>184X</v>
      </c>
      <c r="C33" s="21" t="s">
        <v>419</v>
      </c>
      <c r="D33" s="21" t="str">
        <f t="shared" si="1"/>
        <v xml:space="preserve">						{"184X", "Information Warfare Line Officer– Cyber Warfare Engineer"},</v>
      </c>
      <c r="E33" s="21" t="str">
        <f t="shared" si="2"/>
        <v>insert into FTS_officer_designator_codes (suggest_text_1, suggest_text_2, source) values ('184X','Information Warfare Line Officer– Cyber Warfare Engineer','NAVPERS 15839I VOL I (JAN 2026)');</v>
      </c>
    </row>
    <row r="34" spans="1:5" ht="56" x14ac:dyDescent="0.2">
      <c r="A34" s="21" t="s">
        <v>152</v>
      </c>
      <c r="B34" s="21" t="str">
        <f t="shared" ref="B34:B74" si="3">+RIGHT(A34,4)</f>
        <v>186X</v>
      </c>
      <c r="C34" s="21" t="s">
        <v>420</v>
      </c>
      <c r="D34" s="21" t="str">
        <f t="shared" ref="D34:D65" si="4">+_xlfn.CONCAT("						{""",B34,""", """,TRIM(C34),"""},")</f>
        <v xml:space="preserve">						{"186X", "Information Warfare Line Officer – IWC Flag Officer"},</v>
      </c>
      <c r="E34" s="21" t="str">
        <f t="shared" si="2"/>
        <v>insert into FTS_officer_designator_codes (suggest_text_1, suggest_text_2, source) values ('186X','Information Warfare Line Officer – IWC Flag Officer','NAVPERS 15839I VOL I (JAN 2026)');</v>
      </c>
    </row>
    <row r="35" spans="1:5" ht="56" x14ac:dyDescent="0.2">
      <c r="A35" s="21" t="s">
        <v>153</v>
      </c>
      <c r="B35" s="21" t="str">
        <f t="shared" si="3"/>
        <v>187X</v>
      </c>
      <c r="C35" s="21" t="s">
        <v>447</v>
      </c>
      <c r="D35" s="21" t="str">
        <f t="shared" si="4"/>
        <v xml:space="preserve">						{"187X", "Information Warfare Line Officer - Maritime Space Officer / Reserve Grades URL/RL O2 to O6"},</v>
      </c>
      <c r="E35" s="21" t="str">
        <f t="shared" si="2"/>
        <v>insert into FTS_officer_designator_codes (suggest_text_1, suggest_text_2, source) values ('187X','Information Warfare Line Officer - Maritime Space Officer / Reserve Grades URL/RL O2 to O6','NAVPERS 15839I VOL I (JAN 2026)');</v>
      </c>
    </row>
    <row r="36" spans="1:5" ht="56" x14ac:dyDescent="0.2">
      <c r="A36" s="21" t="s">
        <v>154</v>
      </c>
      <c r="B36" s="21" t="str">
        <f t="shared" si="3"/>
        <v>188X</v>
      </c>
      <c r="C36" s="21" t="s">
        <v>423</v>
      </c>
      <c r="D36" s="21" t="str">
        <f t="shared" si="4"/>
        <v xml:space="preserve">						{"188X", "Information Warfare Line Officer -Maritime Cyber Warfare Officer (O1 to O6)"},</v>
      </c>
      <c r="E36" s="21" t="str">
        <f t="shared" si="2"/>
        <v>insert into FTS_officer_designator_codes (suggest_text_1, suggest_text_2, source) values ('188X','Information Warfare Line Officer -Maritime Cyber Warfare Officer (O1 to O6)','NAVPERS 15839I VOL I (JAN 2026)');</v>
      </c>
    </row>
    <row r="37" spans="1:5" ht="56" x14ac:dyDescent="0.2">
      <c r="A37" s="21" t="s">
        <v>157</v>
      </c>
      <c r="B37" s="21" t="str">
        <f t="shared" si="3"/>
        <v>190X</v>
      </c>
      <c r="C37" s="21" t="s">
        <v>158</v>
      </c>
      <c r="D37" s="21" t="str">
        <f t="shared" si="4"/>
        <v xml:space="preserve">						{"190X", "An Unrestricted Line Officer under instruction as a prospective Nurse Corps officer"},</v>
      </c>
      <c r="E37" s="21" t="str">
        <f t="shared" si="2"/>
        <v>insert into FTS_officer_designator_codes (suggest_text_1, suggest_text_2, source) values ('190X','An Unrestricted Line Officer under instruction as a prospective Nurse Corps officer','NAVPERS 15839I VOL I (JAN 2026)');</v>
      </c>
    </row>
    <row r="38" spans="1:5" ht="56" x14ac:dyDescent="0.2">
      <c r="A38" s="21" t="s">
        <v>161</v>
      </c>
      <c r="B38" s="21" t="str">
        <f t="shared" si="3"/>
        <v>191X</v>
      </c>
      <c r="C38" s="21" t="s">
        <v>162</v>
      </c>
      <c r="D38" s="21" t="str">
        <f t="shared" si="4"/>
        <v xml:space="preserve">						{"191X", "An Unrestricted Line Officer under instruction as a prospective Medical Corps officer (Senior Medical Student)"},</v>
      </c>
      <c r="E38" s="21" t="str">
        <f t="shared" si="2"/>
        <v>insert into FTS_officer_designator_codes (suggest_text_1, suggest_text_2, source) values ('191X','An Unrestricted Line Officer under instruction as a prospective Medical Corps officer (Senior Medical Student)','NAVPERS 15839I VOL I (JAN 2026)');</v>
      </c>
    </row>
    <row r="39" spans="1:5" ht="56" x14ac:dyDescent="0.2">
      <c r="A39" s="21" t="s">
        <v>164</v>
      </c>
      <c r="B39" s="21" t="str">
        <f t="shared" si="3"/>
        <v>192X</v>
      </c>
      <c r="C39" s="21" t="s">
        <v>165</v>
      </c>
      <c r="D39" s="21" t="str">
        <f t="shared" si="4"/>
        <v xml:space="preserve">						{"192X", "An Unrestricted Line Officer under instruction as a prospective Dental Corps officer"},</v>
      </c>
      <c r="E39" s="21" t="str">
        <f t="shared" si="2"/>
        <v>insert into FTS_officer_designator_codes (suggest_text_1, suggest_text_2, source) values ('192X','An Unrestricted Line Officer under instruction as a prospective Dental Corps officer','NAVPERS 15839I VOL I (JAN 2026)');</v>
      </c>
    </row>
    <row r="40" spans="1:5" ht="56" x14ac:dyDescent="0.2">
      <c r="A40" s="21" t="s">
        <v>167</v>
      </c>
      <c r="B40" s="21" t="str">
        <f t="shared" si="3"/>
        <v>193X</v>
      </c>
      <c r="C40" s="21" t="s">
        <v>168</v>
      </c>
      <c r="D40" s="21" t="str">
        <f t="shared" si="4"/>
        <v xml:space="preserve">						{"193X", "An Unrestricted Line Officer under instruction as a prospective Medical Service officer (Optometry)"},</v>
      </c>
      <c r="E40" s="21" t="str">
        <f t="shared" si="2"/>
        <v>insert into FTS_officer_designator_codes (suggest_text_1, suggest_text_2, source) values ('193X','An Unrestricted Line Officer under instruction as a prospective Medical Service officer (Optometry)','NAVPERS 15839I VOL I (JAN 2026)');</v>
      </c>
    </row>
    <row r="41" spans="1:5" ht="56" x14ac:dyDescent="0.2">
      <c r="A41" s="21" t="s">
        <v>169</v>
      </c>
      <c r="B41" s="21" t="str">
        <f t="shared" si="3"/>
        <v>194X</v>
      </c>
      <c r="C41" s="21" t="s">
        <v>170</v>
      </c>
      <c r="D41" s="21" t="str">
        <f t="shared" si="4"/>
        <v xml:space="preserve">						{"194X", "An Unrestricted Line Officer under instruction as a prospective Chaplain Corps officer"},</v>
      </c>
      <c r="E41" s="21" t="str">
        <f t="shared" si="2"/>
        <v>insert into FTS_officer_designator_codes (suggest_text_1, suggest_text_2, source) values ('194X','An Unrestricted Line Officer under instruction as a prospective Chaplain Corps officer','NAVPERS 15839I VOL I (JAN 2026)');</v>
      </c>
    </row>
    <row r="42" spans="1:5" ht="56" x14ac:dyDescent="0.2">
      <c r="A42" s="21" t="s">
        <v>172</v>
      </c>
      <c r="B42" s="21" t="str">
        <f t="shared" si="3"/>
        <v>195X</v>
      </c>
      <c r="C42" s="21" t="s">
        <v>173</v>
      </c>
      <c r="D42" s="21" t="str">
        <f t="shared" si="4"/>
        <v xml:space="preserve">						{"195X", "An Unrestricted Line Officer under instruction as a prospective Judge Advocate General's Corps officer"},</v>
      </c>
      <c r="E42" s="21" t="str">
        <f t="shared" si="2"/>
        <v>insert into FTS_officer_designator_codes (suggest_text_1, suggest_text_2, source) values ('195X','An Unrestricted Line Officer under instruction as a prospective Judge Advocate General''s Corps officer','NAVPERS 15839I VOL I (JAN 2026)');</v>
      </c>
    </row>
    <row r="43" spans="1:5" ht="56" x14ac:dyDescent="0.2">
      <c r="A43" s="21" t="s">
        <v>176</v>
      </c>
      <c r="B43" s="21" t="str">
        <f t="shared" si="3"/>
        <v>196X</v>
      </c>
      <c r="C43" s="21" t="s">
        <v>177</v>
      </c>
      <c r="D43" s="21" t="str">
        <f t="shared" si="4"/>
        <v xml:space="preserve">						{"196X", "An Unrestricted Line Officer under instruction as a prospective Medical Corps officer (Medical /Osteopathic Scholarship Program)"},</v>
      </c>
      <c r="E43" s="21" t="str">
        <f t="shared" si="2"/>
        <v>insert into FTS_officer_designator_codes (suggest_text_1, suggest_text_2, source) values ('196X','An Unrestricted Line Officer under instruction as a prospective Medical Corps officer (Medical /Osteopathic Scholarship Program)','NAVPERS 15839I VOL I (JAN 2026)');</v>
      </c>
    </row>
    <row r="44" spans="1:5" ht="56" x14ac:dyDescent="0.2">
      <c r="A44" s="21" t="s">
        <v>178</v>
      </c>
      <c r="B44" s="21" t="str">
        <f t="shared" si="3"/>
        <v>197X</v>
      </c>
      <c r="C44" s="21" t="s">
        <v>179</v>
      </c>
      <c r="D44" s="21" t="str">
        <f t="shared" si="4"/>
        <v xml:space="preserve">						{"197X", "An Unrestricted Line Officer under instruction in the Armed Forces Health Professions Scholarship Program (Medical/Osteopathic)"},</v>
      </c>
      <c r="E44" s="21" t="str">
        <f t="shared" si="2"/>
        <v>insert into FTS_officer_designator_codes (suggest_text_1, suggest_text_2, source) values ('197X','An Unrestricted Line Officer under instruction in the Armed Forces Health Professions Scholarship Program (Medical/Osteopathic)','NAVPERS 15839I VOL I (JAN 2026)');</v>
      </c>
    </row>
    <row r="45" spans="1:5" ht="56" x14ac:dyDescent="0.2">
      <c r="A45" s="21" t="s">
        <v>180</v>
      </c>
      <c r="B45" s="21" t="str">
        <f t="shared" si="3"/>
        <v>198X</v>
      </c>
      <c r="C45" s="21" t="s">
        <v>181</v>
      </c>
      <c r="D45" s="21" t="str">
        <f t="shared" si="4"/>
        <v xml:space="preserve">						{"198X", "An Unrestricted Line Officer under instruction in the Armed Forces Health Professions Scholarship Program (Dental)"},</v>
      </c>
      <c r="E45" s="21" t="str">
        <f t="shared" si="2"/>
        <v>insert into FTS_officer_designator_codes (suggest_text_1, suggest_text_2, source) values ('198X','An Unrestricted Line Officer under instruction in the Armed Forces Health Professions Scholarship Program (Dental)','NAVPERS 15839I VOL I (JAN 2026)');</v>
      </c>
    </row>
    <row r="46" spans="1:5" ht="56" x14ac:dyDescent="0.2">
      <c r="A46" s="21" t="s">
        <v>182</v>
      </c>
      <c r="B46" s="21" t="str">
        <f t="shared" si="3"/>
        <v>199X</v>
      </c>
      <c r="C46" s="21" t="s">
        <v>183</v>
      </c>
      <c r="D46" s="21" t="str">
        <f t="shared" si="4"/>
        <v xml:space="preserve">						{"199X", "An Unrestricted Line Officer under instruction in the Armed Forces Health Professions Scholarship Program (Medical Service Corps)"},</v>
      </c>
      <c r="E46" s="21" t="str">
        <f t="shared" si="2"/>
        <v>insert into FTS_officer_designator_codes (suggest_text_1, suggest_text_2, source) values ('199X','An Unrestricted Line Officer under instruction in the Armed Forces Health Professions Scholarship Program (Medical Service Corps)','NAVPERS 15839I VOL I (JAN 2026)');</v>
      </c>
    </row>
    <row r="47" spans="1:5" ht="56" x14ac:dyDescent="0.2">
      <c r="A47" s="21" t="s">
        <v>190</v>
      </c>
      <c r="B47" s="21" t="str">
        <f t="shared" si="3"/>
        <v>210X</v>
      </c>
      <c r="C47" s="21" t="s">
        <v>191</v>
      </c>
      <c r="D47" s="21" t="str">
        <f t="shared" si="4"/>
        <v xml:space="preserve">						{"210X", "A Medical Corps Officer"},</v>
      </c>
      <c r="E47" s="21" t="str">
        <f t="shared" si="2"/>
        <v>insert into FTS_officer_designator_codes (suggest_text_1, suggest_text_2, source) values ('210X','A Medical Corps Officer','NAVPERS 15839I VOL I (JAN 2026)');</v>
      </c>
    </row>
    <row r="48" spans="1:5" ht="56" x14ac:dyDescent="0.2">
      <c r="A48" s="21" t="s">
        <v>195</v>
      </c>
      <c r="B48" s="21" t="str">
        <f t="shared" si="3"/>
        <v>220X</v>
      </c>
      <c r="C48" s="21" t="s">
        <v>196</v>
      </c>
      <c r="D48" s="21" t="str">
        <f t="shared" si="4"/>
        <v xml:space="preserve">						{"220X", "A Dental Corps Officer"},</v>
      </c>
      <c r="E48" s="21" t="str">
        <f t="shared" si="2"/>
        <v>insert into FTS_officer_designator_codes (suggest_text_1, suggest_text_2, source) values ('220X','A Dental Corps Officer','NAVPERS 15839I VOL I (JAN 2026)');</v>
      </c>
    </row>
    <row r="49" spans="1:5" ht="56" x14ac:dyDescent="0.2">
      <c r="A49" s="21" t="s">
        <v>198</v>
      </c>
      <c r="B49" s="21" t="str">
        <f t="shared" si="3"/>
        <v>230X</v>
      </c>
      <c r="C49" s="21" t="s">
        <v>199</v>
      </c>
      <c r="D49" s="21" t="str">
        <f t="shared" si="4"/>
        <v xml:space="preserve">						{"230X", "A Medical Service Corps Officer"},</v>
      </c>
      <c r="E49" s="21" t="str">
        <f t="shared" si="2"/>
        <v>insert into FTS_officer_designator_codes (suggest_text_1, suggest_text_2, source) values ('230X','A Medical Service Corps Officer','NAVPERS 15839I VOL I (JAN 2026)');</v>
      </c>
    </row>
    <row r="50" spans="1:5" ht="56" x14ac:dyDescent="0.2">
      <c r="A50" s="21" t="s">
        <v>203</v>
      </c>
      <c r="B50" s="21" t="str">
        <f t="shared" si="3"/>
        <v>250X</v>
      </c>
      <c r="C50" s="21" t="s">
        <v>204</v>
      </c>
      <c r="D50" s="21" t="str">
        <f t="shared" si="4"/>
        <v xml:space="preserve">						{"250X", "A Judge Advocate General Corps Officer"},</v>
      </c>
      <c r="E50" s="21" t="str">
        <f t="shared" si="2"/>
        <v>insert into FTS_officer_designator_codes (suggest_text_1, suggest_text_2, source) values ('250X','A Judge Advocate General Corps Officer','NAVPERS 15839I VOL I (JAN 2026)');</v>
      </c>
    </row>
    <row r="51" spans="1:5" ht="56" x14ac:dyDescent="0.2">
      <c r="A51" s="21" t="s">
        <v>205</v>
      </c>
      <c r="B51" s="21" t="str">
        <f t="shared" si="3"/>
        <v>270X</v>
      </c>
      <c r="C51" s="21" t="s">
        <v>206</v>
      </c>
      <c r="D51" s="21" t="str">
        <f t="shared" si="4"/>
        <v xml:space="preserve">						{"270X", "Active duty Nurse Corps, Medical Service Corps, Medical Corps, and Dental Corps officer in rank of O7"},</v>
      </c>
      <c r="E51" s="21" t="str">
        <f t="shared" si="2"/>
        <v>insert into FTS_officer_designator_codes (suggest_text_1, suggest_text_2, source) values ('270X','Active duty Nurse Corps, Medical Service Corps, Medical Corps, and Dental Corps officer in rank of O7','NAVPERS 15839I VOL I (JAN 2026)');</v>
      </c>
    </row>
    <row r="52" spans="1:5" ht="56" x14ac:dyDescent="0.2">
      <c r="A52" s="21" t="s">
        <v>208</v>
      </c>
      <c r="B52" s="21" t="str">
        <f t="shared" si="3"/>
        <v>290X</v>
      </c>
      <c r="C52" s="21" t="s">
        <v>209</v>
      </c>
      <c r="D52" s="21" t="str">
        <f t="shared" si="4"/>
        <v xml:space="preserve">						{"290X", "A Nurse Corps Officer"},</v>
      </c>
      <c r="E52" s="21" t="str">
        <f t="shared" si="2"/>
        <v>insert into FTS_officer_designator_codes (suggest_text_1, suggest_text_2, source) values ('290X','A Nurse Corps Officer','NAVPERS 15839I VOL I (JAN 2026)');</v>
      </c>
    </row>
    <row r="53" spans="1:5" ht="56" x14ac:dyDescent="0.2">
      <c r="A53" s="21" t="s">
        <v>211</v>
      </c>
      <c r="B53" s="21" t="str">
        <f t="shared" si="3"/>
        <v>310X</v>
      </c>
      <c r="C53" s="21" t="s">
        <v>212</v>
      </c>
      <c r="D53" s="21" t="str">
        <f t="shared" si="4"/>
        <v xml:space="preserve">						{"310X", "A Supply Corps Officer"},</v>
      </c>
      <c r="E53" s="21" t="str">
        <f t="shared" si="2"/>
        <v>insert into FTS_officer_designator_codes (suggest_text_1, suggest_text_2, source) values ('310X','A Supply Corps Officer','NAVPERS 15839I VOL I (JAN 2026)');</v>
      </c>
    </row>
    <row r="54" spans="1:5" ht="56" x14ac:dyDescent="0.2">
      <c r="A54" s="21" t="s">
        <v>214</v>
      </c>
      <c r="B54" s="21" t="str">
        <f t="shared" si="3"/>
        <v>316X</v>
      </c>
      <c r="C54" s="21" t="s">
        <v>215</v>
      </c>
      <c r="D54" s="21" t="str">
        <f t="shared" si="4"/>
        <v xml:space="preserve">						{"316X", "A direct commissioned Supply Corps Officer in training for qualification"},</v>
      </c>
      <c r="E54" s="21" t="str">
        <f t="shared" si="2"/>
        <v>insert into FTS_officer_designator_codes (suggest_text_1, suggest_text_2, source) values ('316X','A direct commissioned Supply Corps Officer in training for qualification','NAVPERS 15839I VOL I (JAN 2026)');</v>
      </c>
    </row>
    <row r="55" spans="1:5" ht="56" x14ac:dyDescent="0.2">
      <c r="A55" s="21" t="s">
        <v>217</v>
      </c>
      <c r="B55" s="21" t="str">
        <f t="shared" si="3"/>
        <v>410X</v>
      </c>
      <c r="C55" s="21" t="s">
        <v>218</v>
      </c>
      <c r="D55" s="21" t="str">
        <f t="shared" si="4"/>
        <v xml:space="preserve">						{"410X", "A Chaplain Corps Officer"},</v>
      </c>
      <c r="E55" s="21" t="str">
        <f t="shared" si="2"/>
        <v>insert into FTS_officer_designator_codes (suggest_text_1, suggest_text_2, source) values ('410X','A Chaplain Corps Officer','NAVPERS 15839I VOL I (JAN 2026)');</v>
      </c>
    </row>
    <row r="56" spans="1:5" ht="56" x14ac:dyDescent="0.2">
      <c r="A56" s="21" t="s">
        <v>220</v>
      </c>
      <c r="B56" s="21" t="str">
        <f t="shared" si="3"/>
        <v>510X</v>
      </c>
      <c r="C56" s="21" t="s">
        <v>221</v>
      </c>
      <c r="D56" s="21" t="str">
        <f t="shared" si="4"/>
        <v xml:space="preserve">						{"510X", "A Civil Engineer Corps Officer"},</v>
      </c>
      <c r="E56" s="21" t="str">
        <f t="shared" si="2"/>
        <v>insert into FTS_officer_designator_codes (suggest_text_1, suggest_text_2, source) values ('510X','A Civil Engineer Corps Officer','NAVPERS 15839I VOL I (JAN 2026)');</v>
      </c>
    </row>
    <row r="57" spans="1:5" ht="56" x14ac:dyDescent="0.2">
      <c r="A57" s="21" t="s">
        <v>226</v>
      </c>
      <c r="B57" s="21" t="str">
        <f t="shared" si="3"/>
        <v>611X</v>
      </c>
      <c r="C57" s="21" t="s">
        <v>227</v>
      </c>
      <c r="D57" s="21" t="str">
        <f t="shared" si="4"/>
        <v xml:space="preserve">						{"611X", "A Limited Duty Officer (Deck - Surface)"},</v>
      </c>
      <c r="E57" s="21" t="str">
        <f t="shared" si="2"/>
        <v>insert into FTS_officer_designator_codes (suggest_text_1, suggest_text_2, source) values ('611X','A Limited Duty Officer (Deck - Surface)','NAVPERS 15839I VOL I (JAN 2026)');</v>
      </c>
    </row>
    <row r="58" spans="1:5" ht="56" x14ac:dyDescent="0.2">
      <c r="A58" s="21" t="s">
        <v>229</v>
      </c>
      <c r="B58" s="21" t="str">
        <f t="shared" si="3"/>
        <v>612X</v>
      </c>
      <c r="C58" s="21" t="s">
        <v>230</v>
      </c>
      <c r="D58" s="21" t="str">
        <f t="shared" si="4"/>
        <v xml:space="preserve">						{"612X", "A Limited Duty Officer (Operations - Surface)"},</v>
      </c>
      <c r="E58" s="21" t="str">
        <f t="shared" si="2"/>
        <v>insert into FTS_officer_designator_codes (suggest_text_1, suggest_text_2, source) values ('612X','A Limited Duty Officer (Operations - Surface)','NAVPERS 15839I VOL I (JAN 2026)');</v>
      </c>
    </row>
    <row r="59" spans="1:5" ht="56" x14ac:dyDescent="0.2">
      <c r="A59" s="21" t="s">
        <v>232</v>
      </c>
      <c r="B59" s="21" t="str">
        <f t="shared" si="3"/>
        <v>613X</v>
      </c>
      <c r="C59" s="21" t="s">
        <v>233</v>
      </c>
      <c r="D59" s="21" t="str">
        <f t="shared" si="4"/>
        <v xml:space="preserve">						{"613X", "A Limited Duty Officer (Engineering/Repair - Surface)"},</v>
      </c>
      <c r="E59" s="21" t="str">
        <f t="shared" si="2"/>
        <v>insert into FTS_officer_designator_codes (suggest_text_1, suggest_text_2, source) values ('613X','A Limited Duty Officer (Engineering/Repair - Surface)','NAVPERS 15839I VOL I (JAN 2026)');</v>
      </c>
    </row>
    <row r="60" spans="1:5" ht="56" x14ac:dyDescent="0.2">
      <c r="A60" s="21" t="s">
        <v>235</v>
      </c>
      <c r="B60" s="21" t="str">
        <f t="shared" si="3"/>
        <v>618X</v>
      </c>
      <c r="C60" s="21" t="s">
        <v>236</v>
      </c>
      <c r="D60" s="21" t="str">
        <f t="shared" si="4"/>
        <v xml:space="preserve">						{"618X", "A Limited Duty Officer (Electronics - Surface)"},</v>
      </c>
      <c r="E60" s="21" t="str">
        <f t="shared" si="2"/>
        <v>insert into FTS_officer_designator_codes (suggest_text_1, suggest_text_2, source) values ('618X','A Limited Duty Officer (Electronics - Surface)','NAVPERS 15839I VOL I (JAN 2026)');</v>
      </c>
    </row>
    <row r="61" spans="1:5" ht="56" x14ac:dyDescent="0.2">
      <c r="A61" s="21" t="s">
        <v>239</v>
      </c>
      <c r="B61" s="21" t="str">
        <f t="shared" si="3"/>
        <v>620X</v>
      </c>
      <c r="C61" s="21" t="s">
        <v>252</v>
      </c>
      <c r="D61" s="21" t="str">
        <f t="shared" si="4"/>
        <v xml:space="preserve">						{"620X", "A Limited Duty Officer (Nuclear Power); Formerly DESIG 640X"},</v>
      </c>
      <c r="E61" s="21" t="str">
        <f t="shared" si="2"/>
        <v>insert into FTS_officer_designator_codes (suggest_text_1, suggest_text_2, source) values ('620X','A Limited Duty Officer (Nuclear Power); Formerly DESIG 640X','NAVPERS 15839I VOL I (JAN 2026)');</v>
      </c>
    </row>
    <row r="62" spans="1:5" ht="56" x14ac:dyDescent="0.2">
      <c r="A62" s="21" t="s">
        <v>241</v>
      </c>
      <c r="B62" s="21" t="str">
        <f t="shared" si="3"/>
        <v>623X</v>
      </c>
      <c r="C62" s="21" t="s">
        <v>242</v>
      </c>
      <c r="D62" s="21" t="str">
        <f t="shared" si="4"/>
        <v xml:space="preserve">						{"623X", "A Limited Duty Officer (Engineering/Repair - Submarine)"},</v>
      </c>
      <c r="E62" s="21" t="str">
        <f t="shared" si="2"/>
        <v>insert into FTS_officer_designator_codes (suggest_text_1, suggest_text_2, source) values ('623X','A Limited Duty Officer (Engineering/Repair - Submarine)','NAVPERS 15839I VOL I (JAN 2026)');</v>
      </c>
    </row>
    <row r="63" spans="1:5" ht="56" x14ac:dyDescent="0.2">
      <c r="A63" s="21" t="s">
        <v>244</v>
      </c>
      <c r="B63" s="21" t="str">
        <f t="shared" si="3"/>
        <v>626X</v>
      </c>
      <c r="C63" s="21" t="s">
        <v>245</v>
      </c>
      <c r="D63" s="21" t="str">
        <f t="shared" si="4"/>
        <v xml:space="preserve">						{"626X", "A Limited Duty Officer (Ordnance - Submarine)"},</v>
      </c>
      <c r="E63" s="21" t="str">
        <f t="shared" si="2"/>
        <v>insert into FTS_officer_designator_codes (suggest_text_1, suggest_text_2, source) values ('626X','A Limited Duty Officer (Ordnance - Submarine)','NAVPERS 15839I VOL I (JAN 2026)');</v>
      </c>
    </row>
    <row r="64" spans="1:5" ht="56" x14ac:dyDescent="0.2">
      <c r="A64" s="21" t="s">
        <v>247</v>
      </c>
      <c r="B64" s="21" t="str">
        <f t="shared" si="3"/>
        <v>628X</v>
      </c>
      <c r="C64" s="21" t="s">
        <v>248</v>
      </c>
      <c r="D64" s="21" t="str">
        <f t="shared" si="4"/>
        <v xml:space="preserve">						{"628X", "A Limited Duty Officer (Electronics - Submarine)"},</v>
      </c>
      <c r="E64" s="21" t="str">
        <f t="shared" si="2"/>
        <v>insert into FTS_officer_designator_codes (suggest_text_1, suggest_text_2, source) values ('628X','A Limited Duty Officer (Electronics - Submarine)','NAVPERS 15839I VOL I (JAN 2026)');</v>
      </c>
    </row>
    <row r="65" spans="1:5" ht="56" x14ac:dyDescent="0.2">
      <c r="A65" s="21" t="s">
        <v>250</v>
      </c>
      <c r="B65" s="21" t="str">
        <f t="shared" si="3"/>
        <v>629X</v>
      </c>
      <c r="C65" s="21" t="s">
        <v>251</v>
      </c>
      <c r="D65" s="21" t="str">
        <f t="shared" si="4"/>
        <v xml:space="preserve">						{"629X", "A Limited Duty Officer (Communications - Submarine)"},</v>
      </c>
      <c r="E65" s="21" t="str">
        <f t="shared" si="2"/>
        <v>insert into FTS_officer_designator_codes (suggest_text_1, suggest_text_2, source) values ('629X','A Limited Duty Officer (Communications - Submarine)','NAVPERS 15839I VOL I (JAN 2026)');</v>
      </c>
    </row>
    <row r="66" spans="1:5" ht="56" x14ac:dyDescent="0.2">
      <c r="A66" s="21" t="s">
        <v>256</v>
      </c>
      <c r="B66" s="21" t="str">
        <f t="shared" si="3"/>
        <v>631X</v>
      </c>
      <c r="C66" s="21" t="s">
        <v>257</v>
      </c>
      <c r="D66" s="21" t="str">
        <f t="shared" ref="D66:D102" si="5">+_xlfn.CONCAT("						{""",B66,""", """,TRIM(C66),"""},")</f>
        <v xml:space="preserve">						{"631X", "A Limited Duty Officer (Aviation Deck)"},</v>
      </c>
      <c r="E66" s="21" t="str">
        <f t="shared" si="2"/>
        <v>insert into FTS_officer_designator_codes (suggest_text_1, suggest_text_2, source) values ('631X','A Limited Duty Officer (Aviation Deck)','NAVPERS 15839I VOL I (JAN 2026)');</v>
      </c>
    </row>
    <row r="67" spans="1:5" ht="56" x14ac:dyDescent="0.2">
      <c r="A67" s="21" t="s">
        <v>259</v>
      </c>
      <c r="B67" s="21" t="str">
        <f t="shared" si="3"/>
        <v>632X</v>
      </c>
      <c r="C67" s="21" t="s">
        <v>260</v>
      </c>
      <c r="D67" s="21" t="str">
        <f t="shared" si="5"/>
        <v xml:space="preserve">						{"632X", "A Limited Duty Officer (Aviation Operations)"},</v>
      </c>
      <c r="E67" s="21" t="str">
        <f t="shared" ref="E67:E105" si="6">"insert into FTS_officer_designator_codes (suggest_text_1, suggest_text_2, source) values ('"
 &amp; SUBSTITUTE(B67, "'", "''") &amp; "','"
 &amp; SUBSTITUTE(TRIM(C67), "'", "''") &amp; "','NAVPERS 15839I VOL I (JAN 2026)');"</f>
        <v>insert into FTS_officer_designator_codes (suggest_text_1, suggest_text_2, source) values ('632X','A Limited Duty Officer (Aviation Operations)','NAVPERS 15839I VOL I (JAN 2026)');</v>
      </c>
    </row>
    <row r="68" spans="1:5" ht="56" x14ac:dyDescent="0.2">
      <c r="A68" s="21" t="s">
        <v>264</v>
      </c>
      <c r="B68" s="21" t="str">
        <f t="shared" si="3"/>
        <v>633X</v>
      </c>
      <c r="C68" s="21" t="s">
        <v>265</v>
      </c>
      <c r="D68" s="21" t="str">
        <f t="shared" si="5"/>
        <v xml:space="preserve">						{"633X", "A Limited Duty Officer (Aviation Maintenance)"},</v>
      </c>
      <c r="E68" s="21" t="str">
        <f t="shared" si="6"/>
        <v>insert into FTS_officer_designator_codes (suggest_text_1, suggest_text_2, source) values ('633X','A Limited Duty Officer (Aviation Maintenance)','NAVPERS 15839I VOL I (JAN 2026)');</v>
      </c>
    </row>
    <row r="69" spans="1:5" ht="56" x14ac:dyDescent="0.2">
      <c r="A69" s="21" t="s">
        <v>267</v>
      </c>
      <c r="B69" s="21" t="str">
        <f t="shared" si="3"/>
        <v>636X</v>
      </c>
      <c r="C69" s="21" t="s">
        <v>268</v>
      </c>
      <c r="D69" s="21" t="str">
        <f t="shared" si="5"/>
        <v xml:space="preserve">						{"636X", "A Limited Duty Officer (Aviation Ordnance)"},</v>
      </c>
      <c r="E69" s="21" t="str">
        <f t="shared" si="6"/>
        <v>insert into FTS_officer_designator_codes (suggest_text_1, suggest_text_2, source) values ('636X','A Limited Duty Officer (Aviation Ordnance)','NAVPERS 15839I VOL I (JAN 2026)');</v>
      </c>
    </row>
    <row r="70" spans="1:5" ht="56" x14ac:dyDescent="0.2">
      <c r="A70" s="21" t="s">
        <v>270</v>
      </c>
      <c r="B70" s="21" t="str">
        <f t="shared" si="3"/>
        <v>639X</v>
      </c>
      <c r="C70" s="21" t="s">
        <v>271</v>
      </c>
      <c r="D70" s="21" t="str">
        <f t="shared" si="5"/>
        <v xml:space="preserve">						{"639X", "A Limited Duty Officer (Air Traffic Control)"},</v>
      </c>
      <c r="E70" s="21" t="str">
        <f t="shared" si="6"/>
        <v>insert into FTS_officer_designator_codes (suggest_text_1, suggest_text_2, source) values ('639X','A Limited Duty Officer (Air Traffic Control)','NAVPERS 15839I VOL I (JAN 2026)');</v>
      </c>
    </row>
    <row r="71" spans="1:5" ht="56" x14ac:dyDescent="0.2">
      <c r="A71" s="21" t="s">
        <v>274</v>
      </c>
      <c r="B71" s="21" t="str">
        <f t="shared" si="3"/>
        <v>641X</v>
      </c>
      <c r="C71" s="21" t="s">
        <v>275</v>
      </c>
      <c r="D71" s="21" t="str">
        <f t="shared" si="5"/>
        <v xml:space="preserve">						{"641X", "A Limited Duty Officer (Administration)"},</v>
      </c>
      <c r="E71" s="21" t="str">
        <f t="shared" si="6"/>
        <v>insert into FTS_officer_designator_codes (suggest_text_1, suggest_text_2, source) values ('641X','A Limited Duty Officer (Administration)','NAVPERS 15839I VOL I (JAN 2026)');</v>
      </c>
    </row>
    <row r="72" spans="1:5" ht="56" x14ac:dyDescent="0.2">
      <c r="A72" s="21" t="s">
        <v>277</v>
      </c>
      <c r="B72" s="21" t="str">
        <f t="shared" si="3"/>
        <v>643X</v>
      </c>
      <c r="C72" s="21" t="s">
        <v>278</v>
      </c>
      <c r="D72" s="21" t="str">
        <f t="shared" si="5"/>
        <v xml:space="preserve">						{"643X", "A Limited Duty Officer (Bandmaster)"},</v>
      </c>
      <c r="E72" s="21" t="str">
        <f t="shared" si="6"/>
        <v>insert into FTS_officer_designator_codes (suggest_text_1, suggest_text_2, source) values ('643X','A Limited Duty Officer (Bandmaster)','NAVPERS 15839I VOL I (JAN 2026)');</v>
      </c>
    </row>
    <row r="73" spans="1:5" ht="56" x14ac:dyDescent="0.2">
      <c r="A73" s="21" t="s">
        <v>280</v>
      </c>
      <c r="B73" s="21" t="str">
        <f t="shared" si="3"/>
        <v>648X</v>
      </c>
      <c r="C73" s="21" t="s">
        <v>281</v>
      </c>
      <c r="D73" s="21" t="str">
        <f t="shared" si="5"/>
        <v xml:space="preserve">						{"648X", "A Limited Duty Officer (Explosive Ordnance Disposal)"},</v>
      </c>
      <c r="E73" s="21" t="str">
        <f t="shared" si="6"/>
        <v>insert into FTS_officer_designator_codes (suggest_text_1, suggest_text_2, source) values ('648X','A Limited Duty Officer (Explosive Ordnance Disposal)','NAVPERS 15839I VOL I (JAN 2026)');</v>
      </c>
    </row>
    <row r="74" spans="1:5" ht="56" x14ac:dyDescent="0.2">
      <c r="A74" s="21" t="s">
        <v>283</v>
      </c>
      <c r="B74" s="21" t="str">
        <f t="shared" si="3"/>
        <v>649X</v>
      </c>
      <c r="C74" s="21" t="s">
        <v>284</v>
      </c>
      <c r="D74" s="21" t="str">
        <f t="shared" si="5"/>
        <v xml:space="preserve">						{"649X", "A Limited Duty Officer (Security)"},</v>
      </c>
      <c r="E74" s="21" t="str">
        <f t="shared" si="6"/>
        <v>insert into FTS_officer_designator_codes (suggest_text_1, suggest_text_2, source) values ('649X','A Limited Duty Officer (Security)','NAVPERS 15839I VOL I (JAN 2026)');</v>
      </c>
    </row>
    <row r="75" spans="1:5" ht="56" x14ac:dyDescent="0.2">
      <c r="A75" s="21" t="s">
        <v>291</v>
      </c>
      <c r="B75" s="21" t="str">
        <f t="shared" ref="B75:B105" si="7">+RIGHT(A75,4)</f>
        <v>651X</v>
      </c>
      <c r="C75" s="21" t="s">
        <v>292</v>
      </c>
      <c r="D75" s="21" t="str">
        <f t="shared" si="5"/>
        <v xml:space="preserve">						{"651X", "A Limited Duty Officer of the Supply Corps"},</v>
      </c>
      <c r="E75" s="21" t="str">
        <f t="shared" si="6"/>
        <v>insert into FTS_officer_designator_codes (suggest_text_1, suggest_text_2, source) values ('651X','A Limited Duty Officer of the Supply Corps','NAVPERS 15839I VOL I (JAN 2026)');</v>
      </c>
    </row>
    <row r="76" spans="1:5" ht="56" x14ac:dyDescent="0.2">
      <c r="A76" s="21" t="s">
        <v>294</v>
      </c>
      <c r="B76" s="21" t="str">
        <f t="shared" si="7"/>
        <v>653X</v>
      </c>
      <c r="C76" s="21" t="s">
        <v>295</v>
      </c>
      <c r="D76" s="21" t="str">
        <f t="shared" si="5"/>
        <v xml:space="preserve">						{"653X", "A Limited Duty Officer of the Civil Engineer Corps"},</v>
      </c>
      <c r="E76" s="21" t="str">
        <f t="shared" si="6"/>
        <v>insert into FTS_officer_designator_codes (suggest_text_1, suggest_text_2, source) values ('653X','A Limited Duty Officer of the Civil Engineer Corps','NAVPERS 15839I VOL I (JAN 2026)');</v>
      </c>
    </row>
    <row r="77" spans="1:5" ht="56" x14ac:dyDescent="0.2">
      <c r="A77" s="21" t="s">
        <v>298</v>
      </c>
      <c r="B77" s="21" t="str">
        <f t="shared" si="7"/>
        <v>680X</v>
      </c>
      <c r="C77" s="21" t="s">
        <v>305</v>
      </c>
      <c r="D77" s="21" t="str">
        <f t="shared" si="5"/>
        <v xml:space="preserve">						{"680X", "A Limited Duty Officer (Meteorology/Oceanography) Formerly DESIG 646X"},</v>
      </c>
      <c r="E77" s="21" t="str">
        <f t="shared" si="6"/>
        <v>insert into FTS_officer_designator_codes (suggest_text_1, suggest_text_2, source) values ('680X','A Limited Duty Officer (Meteorology/Oceanography) Formerly DESIG 646X','NAVPERS 15839I VOL I (JAN 2026)');</v>
      </c>
    </row>
    <row r="78" spans="1:5" ht="56" x14ac:dyDescent="0.2">
      <c r="A78" s="21" t="s">
        <v>300</v>
      </c>
      <c r="B78" s="21" t="str">
        <f t="shared" si="7"/>
        <v>681X</v>
      </c>
      <c r="C78" s="21" t="s">
        <v>306</v>
      </c>
      <c r="D78" s="21" t="str">
        <f t="shared" si="5"/>
        <v xml:space="preserve">						{"681X", "A Limited Duty Officer (Cryptologic Warfare) Formerly DESIG 644X"},</v>
      </c>
      <c r="E78" s="21" t="str">
        <f t="shared" si="6"/>
        <v>insert into FTS_officer_designator_codes (suggest_text_1, suggest_text_2, source) values ('681X','A Limited Duty Officer (Cryptologic Warfare) Formerly DESIG 644X','NAVPERS 15839I VOL I (JAN 2026)');</v>
      </c>
    </row>
    <row r="79" spans="1:5" ht="56" x14ac:dyDescent="0.2">
      <c r="A79" s="21" t="s">
        <v>302</v>
      </c>
      <c r="B79" s="21" t="str">
        <f t="shared" si="7"/>
        <v>682X</v>
      </c>
      <c r="C79" s="21" t="s">
        <v>307</v>
      </c>
      <c r="D79" s="21" t="str">
        <f t="shared" si="5"/>
        <v xml:space="preserve">						{"682X", "A Limited Duty Officer (Information Professional) Formerly DESIG 642X"},</v>
      </c>
      <c r="E79" s="21" t="str">
        <f t="shared" si="6"/>
        <v>insert into FTS_officer_designator_codes (suggest_text_1, suggest_text_2, source) values ('682X','A Limited Duty Officer (Information Professional) Formerly DESIG 642X','NAVPERS 15839I VOL I (JAN 2026)');</v>
      </c>
    </row>
    <row r="80" spans="1:5" ht="56" x14ac:dyDescent="0.2">
      <c r="A80" s="21" t="s">
        <v>304</v>
      </c>
      <c r="B80" s="21" t="str">
        <f t="shared" si="7"/>
        <v>683X</v>
      </c>
      <c r="C80" s="21" t="s">
        <v>308</v>
      </c>
      <c r="D80" s="21" t="str">
        <f t="shared" si="5"/>
        <v xml:space="preserve">						{"683X", "A Limited Duty Officer (Intelligence) Formerly DESIG 645X"},</v>
      </c>
      <c r="E80" s="21" t="str">
        <f t="shared" si="6"/>
        <v>insert into FTS_officer_designator_codes (suggest_text_1, suggest_text_2, source) values ('683X','A Limited Duty Officer (Intelligence) Formerly DESIG 645X','NAVPERS 15839I VOL I (JAN 2026)');</v>
      </c>
    </row>
    <row r="81" spans="1:5" ht="56" x14ac:dyDescent="0.2">
      <c r="A81" s="21" t="s">
        <v>312</v>
      </c>
      <c r="B81" s="21" t="str">
        <f t="shared" si="7"/>
        <v>711X</v>
      </c>
      <c r="C81" s="21" t="s">
        <v>313</v>
      </c>
      <c r="D81" s="21" t="str">
        <f t="shared" si="5"/>
        <v xml:space="preserve">						{"711X", "Boatswain (Surface)"},</v>
      </c>
      <c r="E81" s="21" t="str">
        <f t="shared" si="6"/>
        <v>insert into FTS_officer_designator_codes (suggest_text_1, suggest_text_2, source) values ('711X','Boatswain (Surface)','NAVPERS 15839I VOL I (JAN 2026)');</v>
      </c>
    </row>
    <row r="82" spans="1:5" ht="56" x14ac:dyDescent="0.2">
      <c r="A82" s="21" t="s">
        <v>315</v>
      </c>
      <c r="B82" s="21" t="str">
        <f t="shared" si="7"/>
        <v>712X</v>
      </c>
      <c r="C82" s="21" t="s">
        <v>316</v>
      </c>
      <c r="D82" s="21" t="str">
        <f t="shared" si="5"/>
        <v xml:space="preserve">						{"712X", "Operations Technician (Surface)"},</v>
      </c>
      <c r="E82" s="21" t="str">
        <f t="shared" si="6"/>
        <v>insert into FTS_officer_designator_codes (suggest_text_1, suggest_text_2, source) values ('712X','Operations Technician (Surface)','NAVPERS 15839I VOL I (JAN 2026)');</v>
      </c>
    </row>
    <row r="83" spans="1:5" ht="56" x14ac:dyDescent="0.2">
      <c r="A83" s="21" t="s">
        <v>318</v>
      </c>
      <c r="B83" s="21" t="str">
        <f t="shared" si="7"/>
        <v>713X</v>
      </c>
      <c r="C83" s="21" t="s">
        <v>319</v>
      </c>
      <c r="D83" s="21" t="str">
        <f t="shared" si="5"/>
        <v xml:space="preserve">						{"713X", "Engineering Technician (Surface)"},</v>
      </c>
      <c r="E83" s="21" t="str">
        <f t="shared" si="6"/>
        <v>insert into FTS_officer_designator_codes (suggest_text_1, suggest_text_2, source) values ('713X','Engineering Technician (Surface)','NAVPERS 15839I VOL I (JAN 2026)');</v>
      </c>
    </row>
    <row r="84" spans="1:5" ht="56" x14ac:dyDescent="0.2">
      <c r="A84" s="21" t="s">
        <v>321</v>
      </c>
      <c r="B84" s="21" t="str">
        <f t="shared" si="7"/>
        <v>715X</v>
      </c>
      <c r="C84" s="21" t="s">
        <v>322</v>
      </c>
      <c r="D84" s="21" t="str">
        <f t="shared" si="5"/>
        <v xml:space="preserve">						{"715X", "Special Warfare Technician"},</v>
      </c>
      <c r="E84" s="21" t="str">
        <f t="shared" si="6"/>
        <v>insert into FTS_officer_designator_codes (suggest_text_1, suggest_text_2, source) values ('715X','Special Warfare Technician','NAVPERS 15839I VOL I (JAN 2026)');</v>
      </c>
    </row>
    <row r="85" spans="1:5" ht="56" x14ac:dyDescent="0.2">
      <c r="A85" s="21" t="s">
        <v>324</v>
      </c>
      <c r="B85" s="21" t="str">
        <f t="shared" si="7"/>
        <v>717X</v>
      </c>
      <c r="C85" s="21" t="s">
        <v>325</v>
      </c>
      <c r="D85" s="21" t="str">
        <f t="shared" si="5"/>
        <v xml:space="preserve">						{"717X", "A Chief Warrant Officer with sophisticated, technical knowledge in all aspects of the Naval Special Warfare Combat Crewman"},</v>
      </c>
      <c r="E85" s="21" t="str">
        <f t="shared" si="6"/>
        <v>insert into FTS_officer_designator_codes (suggest_text_1, suggest_text_2, source) values ('717X','A Chief Warrant Officer with sophisticated, technical knowledge in all aspects of the Naval Special Warfare Combat Crewman','NAVPERS 15839I VOL I (JAN 2026)');</v>
      </c>
    </row>
    <row r="86" spans="1:5" ht="56" x14ac:dyDescent="0.2">
      <c r="A86" s="21" t="s">
        <v>327</v>
      </c>
      <c r="B86" s="21" t="str">
        <f t="shared" si="7"/>
        <v>718X</v>
      </c>
      <c r="C86" s="21" t="s">
        <v>328</v>
      </c>
      <c r="D86" s="21" t="str">
        <f t="shared" si="5"/>
        <v xml:space="preserve">						{"718X", "Electronics Technician (Surface)"},</v>
      </c>
      <c r="E86" s="21" t="str">
        <f t="shared" si="6"/>
        <v>insert into FTS_officer_designator_codes (suggest_text_1, suggest_text_2, source) values ('718X','Electronics Technician (Surface)','NAVPERS 15839I VOL I (JAN 2026)');</v>
      </c>
    </row>
    <row r="87" spans="1:5" ht="56" x14ac:dyDescent="0.2">
      <c r="A87" s="21" t="s">
        <v>331</v>
      </c>
      <c r="B87" s="21" t="str">
        <f t="shared" si="7"/>
        <v>720X</v>
      </c>
      <c r="C87" s="21" t="s">
        <v>332</v>
      </c>
      <c r="D87" s="21" t="str">
        <f t="shared" si="5"/>
        <v xml:space="preserve">						{"720X", "Diving Officer"},</v>
      </c>
      <c r="E87" s="21" t="str">
        <f t="shared" si="6"/>
        <v>insert into FTS_officer_designator_codes (suggest_text_1, suggest_text_2, source) values ('720X','Diving Officer','NAVPERS 15839I VOL I (JAN 2026)');</v>
      </c>
    </row>
    <row r="88" spans="1:5" ht="56" x14ac:dyDescent="0.2">
      <c r="A88" s="21" t="s">
        <v>334</v>
      </c>
      <c r="B88" s="21" t="str">
        <f t="shared" si="7"/>
        <v>726X</v>
      </c>
      <c r="C88" s="21" t="s">
        <v>335</v>
      </c>
      <c r="D88" s="21" t="str">
        <f t="shared" si="5"/>
        <v xml:space="preserve">						{"726X", "Ordnance Technician (Submarine)"},</v>
      </c>
      <c r="E88" s="21" t="str">
        <f t="shared" si="6"/>
        <v>insert into FTS_officer_designator_codes (suggest_text_1, suggest_text_2, source) values ('726X','Ordnance Technician (Submarine)','NAVPERS 15839I VOL I (JAN 2026)');</v>
      </c>
    </row>
    <row r="89" spans="1:5" ht="56" x14ac:dyDescent="0.2">
      <c r="A89" s="21" t="s">
        <v>337</v>
      </c>
      <c r="B89" s="21" t="str">
        <f t="shared" si="7"/>
        <v>728X</v>
      </c>
      <c r="C89" s="21" t="s">
        <v>338</v>
      </c>
      <c r="D89" s="21" t="str">
        <f t="shared" si="5"/>
        <v xml:space="preserve">						{"728X", "Acoustic Technician"},</v>
      </c>
      <c r="E89" s="21" t="str">
        <f t="shared" si="6"/>
        <v>insert into FTS_officer_designator_codes (suggest_text_1, suggest_text_2, source) values ('728X','Acoustic Technician','NAVPERS 15839I VOL I (JAN 2026)');</v>
      </c>
    </row>
    <row r="90" spans="1:5" ht="56" x14ac:dyDescent="0.2">
      <c r="A90" s="21" t="s">
        <v>341</v>
      </c>
      <c r="B90" s="21" t="str">
        <f t="shared" si="7"/>
        <v>731X</v>
      </c>
      <c r="C90" s="21" t="s">
        <v>342</v>
      </c>
      <c r="D90" s="21" t="str">
        <f t="shared" si="5"/>
        <v xml:space="preserve">						{"731X", "Aviation Boatswain"},</v>
      </c>
      <c r="E90" s="21" t="str">
        <f t="shared" si="6"/>
        <v>insert into FTS_officer_designator_codes (suggest_text_1, suggest_text_2, source) values ('731X','Aviation Boatswain','NAVPERS 15839I VOL I (JAN 2026)');</v>
      </c>
    </row>
    <row r="91" spans="1:5" ht="56" x14ac:dyDescent="0.2">
      <c r="A91" s="21" t="s">
        <v>344</v>
      </c>
      <c r="B91" s="21" t="str">
        <f t="shared" si="7"/>
        <v>732X</v>
      </c>
      <c r="C91" s="21" t="s">
        <v>345</v>
      </c>
      <c r="D91" s="21" t="str">
        <f t="shared" si="5"/>
        <v xml:space="preserve">						{"732X", "Aviation Operations Technician"},</v>
      </c>
      <c r="E91" s="21" t="str">
        <f t="shared" si="6"/>
        <v>insert into FTS_officer_designator_codes (suggest_text_1, suggest_text_2, source) values ('732X','Aviation Operations Technician','NAVPERS 15839I VOL I (JAN 2026)');</v>
      </c>
    </row>
    <row r="92" spans="1:5" ht="56" x14ac:dyDescent="0.2">
      <c r="A92" s="21" t="s">
        <v>349</v>
      </c>
      <c r="B92" s="21" t="str">
        <f t="shared" si="7"/>
        <v>733X</v>
      </c>
      <c r="C92" s="21" t="s">
        <v>350</v>
      </c>
      <c r="D92" s="21" t="str">
        <f t="shared" si="5"/>
        <v xml:space="preserve">						{"733X", "Aviation Maintenance Technician"},</v>
      </c>
      <c r="E92" s="21" t="str">
        <f t="shared" si="6"/>
        <v>insert into FTS_officer_designator_codes (suggest_text_1, suggest_text_2, source) values ('733X','Aviation Maintenance Technician','NAVPERS 15839I VOL I (JAN 2026)');</v>
      </c>
    </row>
    <row r="93" spans="1:5" ht="56" x14ac:dyDescent="0.2">
      <c r="A93" s="21" t="s">
        <v>352</v>
      </c>
      <c r="B93" s="21" t="str">
        <f t="shared" si="7"/>
        <v>736X</v>
      </c>
      <c r="C93" s="21" t="s">
        <v>353</v>
      </c>
      <c r="D93" s="21" t="str">
        <f t="shared" si="5"/>
        <v xml:space="preserve">						{"736X", "Aviation Ordnance Technician"},</v>
      </c>
      <c r="E93" s="21" t="str">
        <f t="shared" si="6"/>
        <v>insert into FTS_officer_designator_codes (suggest_text_1, suggest_text_2, source) values ('736X','Aviation Ordnance Technician','NAVPERS 15839I VOL I (JAN 2026)');</v>
      </c>
    </row>
    <row r="94" spans="1:5" ht="56" x14ac:dyDescent="0.2">
      <c r="A94" s="21" t="s">
        <v>355</v>
      </c>
      <c r="B94" s="21" t="str">
        <f t="shared" si="7"/>
        <v>737X</v>
      </c>
      <c r="C94" s="21" t="s">
        <v>356</v>
      </c>
      <c r="D94" s="21" t="str">
        <f t="shared" si="5"/>
        <v xml:space="preserve">						{"737X", "Air Vehicle Pilot"},</v>
      </c>
      <c r="E94" s="21" t="str">
        <f t="shared" si="6"/>
        <v>insert into FTS_officer_designator_codes (suggest_text_1, suggest_text_2, source) values ('737X','Air Vehicle Pilot','NAVPERS 15839I VOL I (JAN 2026)');</v>
      </c>
    </row>
    <row r="95" spans="1:5" ht="56" x14ac:dyDescent="0.2">
      <c r="A95" s="21" t="s">
        <v>358</v>
      </c>
      <c r="B95" s="21" t="str">
        <f t="shared" si="7"/>
        <v>740X</v>
      </c>
      <c r="C95" s="21" t="s">
        <v>359</v>
      </c>
      <c r="D95" s="21" t="str">
        <f t="shared" si="5"/>
        <v xml:space="preserve">						{"740X", "Nuclear Power Technician"},</v>
      </c>
      <c r="E95" s="21" t="str">
        <f t="shared" si="6"/>
        <v>insert into FTS_officer_designator_codes (suggest_text_1, suggest_text_2, source) values ('740X','Nuclear Power Technician','NAVPERS 15839I VOL I (JAN 2026)');</v>
      </c>
    </row>
    <row r="96" spans="1:5" ht="56" x14ac:dyDescent="0.2">
      <c r="A96" s="21" t="s">
        <v>361</v>
      </c>
      <c r="B96" s="21" t="str">
        <f t="shared" si="7"/>
        <v>741X</v>
      </c>
      <c r="C96" s="21" t="s">
        <v>362</v>
      </c>
      <c r="D96" s="21" t="str">
        <f t="shared" si="5"/>
        <v xml:space="preserve">						{"741X", "Ship's Clerk"},</v>
      </c>
      <c r="E96" s="21" t="str">
        <f t="shared" si="6"/>
        <v>insert into FTS_officer_designator_codes (suggest_text_1, suggest_text_2, source) values ('741X','Ship''s Clerk','NAVPERS 15839I VOL I (JAN 2026)');</v>
      </c>
    </row>
    <row r="97" spans="1:5" ht="56" x14ac:dyDescent="0.2">
      <c r="A97" s="21" t="s">
        <v>364</v>
      </c>
      <c r="B97" s="21" t="str">
        <f t="shared" si="7"/>
        <v>749X</v>
      </c>
      <c r="C97" s="21" t="s">
        <v>365</v>
      </c>
      <c r="D97" s="21" t="str">
        <f t="shared" si="5"/>
        <v xml:space="preserve">						{"749X", "Security Technician"},</v>
      </c>
      <c r="E97" s="21" t="str">
        <f t="shared" si="6"/>
        <v>insert into FTS_officer_designator_codes (suggest_text_1, suggest_text_2, source) values ('749X','Security Technician','NAVPERS 15839I VOL I (JAN 2026)');</v>
      </c>
    </row>
    <row r="98" spans="1:5" ht="56" x14ac:dyDescent="0.2">
      <c r="A98" s="21" t="s">
        <v>371</v>
      </c>
      <c r="B98" s="21" t="str">
        <f t="shared" si="7"/>
        <v>752X</v>
      </c>
      <c r="C98" s="21" t="s">
        <v>372</v>
      </c>
      <c r="D98" s="21" t="str">
        <f t="shared" si="5"/>
        <v xml:space="preserve">						{"752X", "Food Service Warrant"},</v>
      </c>
      <c r="E98" s="21" t="str">
        <f t="shared" si="6"/>
        <v>insert into FTS_officer_designator_codes (suggest_text_1, suggest_text_2, source) values ('752X','Food Service Warrant','NAVPERS 15839I VOL I (JAN 2026)');</v>
      </c>
    </row>
    <row r="99" spans="1:5" ht="56" x14ac:dyDescent="0.2">
      <c r="A99" s="21" t="s">
        <v>374</v>
      </c>
      <c r="B99" s="21" t="str">
        <f t="shared" si="7"/>
        <v>753X</v>
      </c>
      <c r="C99" s="21" t="s">
        <v>375</v>
      </c>
      <c r="D99" s="21" t="str">
        <f t="shared" si="5"/>
        <v xml:space="preserve">						{"753X", "Civil Engineering Warrant"},</v>
      </c>
      <c r="E99" s="21" t="str">
        <f t="shared" si="6"/>
        <v>insert into FTS_officer_designator_codes (suggest_text_1, suggest_text_2, source) values ('753X','Civil Engineering Warrant','NAVPERS 15839I VOL I (JAN 2026)');</v>
      </c>
    </row>
    <row r="100" spans="1:5" ht="56" x14ac:dyDescent="0.2">
      <c r="A100" s="21" t="s">
        <v>377</v>
      </c>
      <c r="B100" s="21" t="str">
        <f t="shared" si="7"/>
        <v>756X</v>
      </c>
      <c r="C100" s="21" t="s">
        <v>378</v>
      </c>
      <c r="D100" s="21" t="str">
        <f t="shared" si="5"/>
        <v xml:space="preserve">						{"756X", "Technical Nurse"},</v>
      </c>
      <c r="E100" s="21" t="str">
        <f t="shared" si="6"/>
        <v>insert into FTS_officer_designator_codes (suggest_text_1, suggest_text_2, source) values ('756X','Technical Nurse','NAVPERS 15839I VOL I (JAN 2026)');</v>
      </c>
    </row>
    <row r="101" spans="1:5" ht="56" x14ac:dyDescent="0.2">
      <c r="A101" s="21" t="s">
        <v>383</v>
      </c>
      <c r="B101" s="21" t="str">
        <f t="shared" si="7"/>
        <v>780X</v>
      </c>
      <c r="C101" s="21" t="s">
        <v>384</v>
      </c>
      <c r="D101" s="21" t="str">
        <f t="shared" si="5"/>
        <v xml:space="preserve">						{"780X", "Oceanography Warrant Officer"},</v>
      </c>
      <c r="E101" s="21" t="str">
        <f t="shared" si="6"/>
        <v>insert into FTS_officer_designator_codes (suggest_text_1, suggest_text_2, source) values ('780X','Oceanography Warrant Officer','NAVPERS 15839I VOL I (JAN 2026)');</v>
      </c>
    </row>
    <row r="102" spans="1:5" ht="56" x14ac:dyDescent="0.2">
      <c r="A102" s="21" t="s">
        <v>386</v>
      </c>
      <c r="B102" s="21" t="str">
        <f t="shared" si="7"/>
        <v>781X</v>
      </c>
      <c r="C102" s="21" t="s">
        <v>393</v>
      </c>
      <c r="D102" s="21" t="str">
        <f t="shared" si="5"/>
        <v xml:space="preserve">						{"781X", "Cryptologic Warfare Technician Formerly DESIG 744X"},</v>
      </c>
      <c r="E102" s="21" t="str">
        <f t="shared" si="6"/>
        <v>insert into FTS_officer_designator_codes (suggest_text_1, suggest_text_2, source) values ('781X','Cryptologic Warfare Technician Formerly DESIG 744X','NAVPERS 15839I VOL I (JAN 2026)');</v>
      </c>
    </row>
    <row r="103" spans="1:5" ht="56" x14ac:dyDescent="0.2">
      <c r="A103" s="21" t="s">
        <v>388</v>
      </c>
      <c r="B103" s="21" t="str">
        <f t="shared" si="7"/>
        <v>782X</v>
      </c>
      <c r="C103" s="21" t="s">
        <v>394</v>
      </c>
      <c r="D103" s="21" t="str">
        <f t="shared" ref="D103:D105" si="8">+_xlfn.CONCAT("						{""",B103,""", """,TRIM(C103),"""},")</f>
        <v xml:space="preserve">						{"782X", "Information Systems Technician Formerly DESIG 742X"},</v>
      </c>
      <c r="E103" s="21" t="str">
        <f t="shared" si="6"/>
        <v>insert into FTS_officer_designator_codes (suggest_text_1, suggest_text_2, source) values ('782X','Information Systems Technician Formerly DESIG 742X','NAVPERS 15839I VOL I (JAN 2026)');</v>
      </c>
    </row>
    <row r="104" spans="1:5" ht="56" x14ac:dyDescent="0.2">
      <c r="A104" s="21" t="s">
        <v>390</v>
      </c>
      <c r="B104" s="21" t="str">
        <f t="shared" si="7"/>
        <v>783X</v>
      </c>
      <c r="C104" s="21" t="s">
        <v>395</v>
      </c>
      <c r="D104" s="21" t="str">
        <f t="shared" si="8"/>
        <v xml:space="preserve">						{"783X", "Intelligence Technician Formerly DESIG 745X"},</v>
      </c>
      <c r="E104" s="21" t="str">
        <f t="shared" si="6"/>
        <v>insert into FTS_officer_designator_codes (suggest_text_1, suggest_text_2, source) values ('783X','Intelligence Technician Formerly DESIG 745X','NAVPERS 15839I VOL I (JAN 2026)');</v>
      </c>
    </row>
    <row r="105" spans="1:5" ht="56" x14ac:dyDescent="0.2">
      <c r="A105" s="21" t="s">
        <v>392</v>
      </c>
      <c r="B105" s="21" t="str">
        <f t="shared" si="7"/>
        <v>784X</v>
      </c>
      <c r="C105" s="21" t="s">
        <v>396</v>
      </c>
      <c r="D105" s="21" t="str">
        <f t="shared" si="8"/>
        <v xml:space="preserve">						{"784X", "Cyber Warrant Officer Formerly DESIG 743X"},</v>
      </c>
      <c r="E105" s="21" t="str">
        <f t="shared" si="6"/>
        <v>insert into FTS_officer_designator_codes (suggest_text_1, suggest_text_2, source) values ('784X','Cyber Warrant Officer Formerly DESIG 743X','NAVPERS 15839I VOL I (JAN 2026)');</v>
      </c>
    </row>
    <row r="106" spans="1:5" x14ac:dyDescent="0.2">
      <c r="A106" s="4"/>
      <c r="C106" s="4"/>
    </row>
    <row r="107" spans="1:5" x14ac:dyDescent="0.2">
      <c r="A107" s="4"/>
      <c r="C107" s="4"/>
    </row>
    <row r="108" spans="1:5" x14ac:dyDescent="0.2">
      <c r="A108" s="4"/>
      <c r="C108" s="4"/>
    </row>
    <row r="109" spans="1:5" x14ac:dyDescent="0.2">
      <c r="A109" s="4"/>
      <c r="C109" s="4"/>
    </row>
    <row r="110" spans="1:5" x14ac:dyDescent="0.2">
      <c r="A110" s="4"/>
      <c r="C110" s="4"/>
    </row>
    <row r="111" spans="1:5" x14ac:dyDescent="0.2">
      <c r="A111" s="4"/>
      <c r="C111" s="4"/>
    </row>
    <row r="112" spans="1:5" x14ac:dyDescent="0.2">
      <c r="A112" s="4"/>
      <c r="C112" s="4"/>
    </row>
    <row r="113" spans="1:3" x14ac:dyDescent="0.2">
      <c r="A113" s="4"/>
      <c r="C113" s="4"/>
    </row>
    <row r="114" spans="1:3" x14ac:dyDescent="0.2">
      <c r="A114" s="4"/>
      <c r="C114" s="4"/>
    </row>
    <row r="115" spans="1:3" x14ac:dyDescent="0.2">
      <c r="A115" s="4"/>
      <c r="C115" s="4"/>
    </row>
    <row r="116" spans="1:3" x14ac:dyDescent="0.2">
      <c r="A116" s="4"/>
      <c r="C116" s="4"/>
    </row>
    <row r="117" spans="1:3" x14ac:dyDescent="0.2">
      <c r="A117" s="4"/>
      <c r="C117" s="4"/>
    </row>
    <row r="118" spans="1:3" x14ac:dyDescent="0.2">
      <c r="A118" s="4"/>
      <c r="C118" s="4"/>
    </row>
    <row r="119" spans="1:3" x14ac:dyDescent="0.2">
      <c r="A119" s="4"/>
      <c r="C119" s="4"/>
    </row>
    <row r="120" spans="1:3" x14ac:dyDescent="0.2">
      <c r="A120" s="4"/>
      <c r="C120" s="4"/>
    </row>
    <row r="121" spans="1:3" x14ac:dyDescent="0.2">
      <c r="A121" s="4"/>
      <c r="C121" s="4"/>
    </row>
    <row r="122" spans="1:3" x14ac:dyDescent="0.2">
      <c r="A122" s="4"/>
      <c r="C122" s="4"/>
    </row>
    <row r="123" spans="1:3" x14ac:dyDescent="0.2">
      <c r="A123" s="4"/>
      <c r="C123" s="4"/>
    </row>
    <row r="124" spans="1:3" x14ac:dyDescent="0.2">
      <c r="A124" s="4"/>
      <c r="C124" s="4"/>
    </row>
    <row r="125" spans="1:3" x14ac:dyDescent="0.2">
      <c r="A125" s="4"/>
      <c r="C125" s="4"/>
    </row>
    <row r="126" spans="1:3" x14ac:dyDescent="0.2">
      <c r="A126" s="4"/>
      <c r="C126" s="4"/>
    </row>
    <row r="127" spans="1:3" x14ac:dyDescent="0.2">
      <c r="A127" s="4"/>
      <c r="C127" s="4"/>
    </row>
    <row r="128" spans="1:3" x14ac:dyDescent="0.2">
      <c r="A128" s="4"/>
      <c r="C128" s="4"/>
    </row>
    <row r="129" spans="1:3" x14ac:dyDescent="0.2">
      <c r="A129" s="4"/>
      <c r="C129" s="4"/>
    </row>
    <row r="130" spans="1:3" x14ac:dyDescent="0.2">
      <c r="A130" s="4"/>
    </row>
    <row r="131" spans="1:3" x14ac:dyDescent="0.2">
      <c r="A131" s="4"/>
    </row>
    <row r="132" spans="1:3" x14ac:dyDescent="0.2">
      <c r="A132" s="4"/>
    </row>
    <row r="133" spans="1:3" x14ac:dyDescent="0.2">
      <c r="A133" s="4"/>
    </row>
    <row r="134" spans="1:3" x14ac:dyDescent="0.2">
      <c r="A134" s="4"/>
    </row>
    <row r="135" spans="1:3" x14ac:dyDescent="0.2">
      <c r="A135" s="4"/>
    </row>
    <row r="136" spans="1:3" x14ac:dyDescent="0.2">
      <c r="A136" s="4"/>
    </row>
    <row r="137" spans="1:3" x14ac:dyDescent="0.2">
      <c r="A137" s="4"/>
    </row>
    <row r="138" spans="1:3" x14ac:dyDescent="0.2">
      <c r="A138" s="4"/>
    </row>
    <row r="139" spans="1:3" x14ac:dyDescent="0.2">
      <c r="A139" s="4"/>
    </row>
    <row r="140" spans="1:3" x14ac:dyDescent="0.2">
      <c r="A140" s="4"/>
    </row>
    <row r="141" spans="1:3" x14ac:dyDescent="0.2">
      <c r="A141" s="4"/>
    </row>
    <row r="142" spans="1:3" x14ac:dyDescent="0.2">
      <c r="A142" s="4"/>
    </row>
    <row r="143" spans="1:3" x14ac:dyDescent="0.2">
      <c r="A143" s="4"/>
    </row>
    <row r="144" spans="1:3" x14ac:dyDescent="0.2">
      <c r="A144" s="4"/>
    </row>
    <row r="145" spans="1:1" x14ac:dyDescent="0.2">
      <c r="A145" s="4"/>
    </row>
    <row r="146" spans="1:1" x14ac:dyDescent="0.2">
      <c r="A146" s="4"/>
    </row>
    <row r="147" spans="1:1" x14ac:dyDescent="0.2">
      <c r="A147" s="4"/>
    </row>
    <row r="148" spans="1:1" x14ac:dyDescent="0.2">
      <c r="A148" s="4"/>
    </row>
    <row r="149" spans="1:1" x14ac:dyDescent="0.2">
      <c r="A149" s="4"/>
    </row>
    <row r="150" spans="1:1" x14ac:dyDescent="0.2">
      <c r="A150" s="4"/>
    </row>
    <row r="151" spans="1:1" x14ac:dyDescent="0.2">
      <c r="A151" s="4"/>
    </row>
    <row r="152" spans="1:1" x14ac:dyDescent="0.2">
      <c r="A152" s="4"/>
    </row>
    <row r="153" spans="1:1" x14ac:dyDescent="0.2">
      <c r="A153" s="4"/>
    </row>
    <row r="154" spans="1:1" x14ac:dyDescent="0.2">
      <c r="A154" s="4"/>
    </row>
    <row r="155" spans="1:1" x14ac:dyDescent="0.2">
      <c r="A155" s="4"/>
    </row>
    <row r="156" spans="1:1" x14ac:dyDescent="0.2">
      <c r="A156" s="4"/>
    </row>
    <row r="157" spans="1:1" x14ac:dyDescent="0.2">
      <c r="A157" s="4"/>
    </row>
    <row r="158" spans="1:1" x14ac:dyDescent="0.2">
      <c r="A158" s="4"/>
    </row>
    <row r="159" spans="1:1" x14ac:dyDescent="0.2">
      <c r="A159" s="4"/>
    </row>
    <row r="160" spans="1:1" x14ac:dyDescent="0.2">
      <c r="A160" s="4"/>
    </row>
    <row r="161" spans="1:1" x14ac:dyDescent="0.2">
      <c r="A161" s="4"/>
    </row>
    <row r="162" spans="1:1" x14ac:dyDescent="0.2">
      <c r="A162" s="4"/>
    </row>
    <row r="163" spans="1:1" x14ac:dyDescent="0.2">
      <c r="A163" s="4"/>
    </row>
    <row r="164" spans="1:1" x14ac:dyDescent="0.2">
      <c r="A164" s="4"/>
    </row>
    <row r="165" spans="1:1" x14ac:dyDescent="0.2">
      <c r="A165" s="4"/>
    </row>
    <row r="166" spans="1:1" x14ac:dyDescent="0.2">
      <c r="A166" s="4"/>
    </row>
    <row r="167" spans="1:1" x14ac:dyDescent="0.2">
      <c r="A167" s="4"/>
    </row>
    <row r="168" spans="1:1" x14ac:dyDescent="0.2">
      <c r="A168" s="4"/>
    </row>
    <row r="169" spans="1:1" x14ac:dyDescent="0.2">
      <c r="A169" s="4"/>
    </row>
    <row r="170" spans="1:1" x14ac:dyDescent="0.2">
      <c r="A170" s="4"/>
    </row>
    <row r="171" spans="1:1" x14ac:dyDescent="0.2">
      <c r="A171" s="4"/>
    </row>
    <row r="172" spans="1:1" x14ac:dyDescent="0.2">
      <c r="A172" s="4"/>
    </row>
    <row r="173" spans="1:1" x14ac:dyDescent="0.2">
      <c r="A173" s="4"/>
    </row>
    <row r="174" spans="1:1" x14ac:dyDescent="0.2">
      <c r="A174" s="4"/>
    </row>
    <row r="175" spans="1:1" x14ac:dyDescent="0.2">
      <c r="A175" s="4"/>
    </row>
    <row r="176" spans="1:1" x14ac:dyDescent="0.2">
      <c r="A176" s="4"/>
    </row>
    <row r="177" spans="1:1" x14ac:dyDescent="0.2">
      <c r="A177" s="4"/>
    </row>
    <row r="178" spans="1:1" x14ac:dyDescent="0.2">
      <c r="A178" s="4"/>
    </row>
    <row r="179" spans="1:1" x14ac:dyDescent="0.2">
      <c r="A179" s="4"/>
    </row>
    <row r="180" spans="1:1" x14ac:dyDescent="0.2">
      <c r="A180" s="4"/>
    </row>
    <row r="181" spans="1:1" x14ac:dyDescent="0.2">
      <c r="A181" s="4"/>
    </row>
    <row r="182" spans="1:1" x14ac:dyDescent="0.2">
      <c r="A182" s="4"/>
    </row>
    <row r="183" spans="1:1" x14ac:dyDescent="0.2">
      <c r="A183" s="4"/>
    </row>
    <row r="184" spans="1:1" x14ac:dyDescent="0.2">
      <c r="A184" s="4"/>
    </row>
    <row r="185" spans="1:1" x14ac:dyDescent="0.2">
      <c r="A185" s="4"/>
    </row>
    <row r="186" spans="1:1" x14ac:dyDescent="0.2">
      <c r="A186" s="4"/>
    </row>
    <row r="187" spans="1:1" x14ac:dyDescent="0.2">
      <c r="A187" s="4"/>
    </row>
    <row r="188" spans="1:1" x14ac:dyDescent="0.2">
      <c r="A188" s="4"/>
    </row>
    <row r="189" spans="1:1" x14ac:dyDescent="0.2">
      <c r="A189" s="4"/>
    </row>
    <row r="190" spans="1:1" x14ac:dyDescent="0.2">
      <c r="A190" s="4"/>
    </row>
    <row r="191" spans="1:1" x14ac:dyDescent="0.2">
      <c r="A191" s="4"/>
    </row>
    <row r="192" spans="1:1" x14ac:dyDescent="0.2">
      <c r="A192" s="4"/>
    </row>
    <row r="193" spans="1:1" x14ac:dyDescent="0.2">
      <c r="A193" s="4"/>
    </row>
    <row r="194" spans="1:1" x14ac:dyDescent="0.2">
      <c r="A194" s="4"/>
    </row>
    <row r="195" spans="1:1" x14ac:dyDescent="0.2">
      <c r="A195" s="4"/>
    </row>
    <row r="196" spans="1:1" x14ac:dyDescent="0.2">
      <c r="A196" s="4"/>
    </row>
    <row r="197" spans="1:1" x14ac:dyDescent="0.2">
      <c r="A197" s="4"/>
    </row>
    <row r="198" spans="1:1" x14ac:dyDescent="0.2">
      <c r="A198" s="4"/>
    </row>
    <row r="199" spans="1:1" x14ac:dyDescent="0.2">
      <c r="A199" s="4"/>
    </row>
    <row r="200" spans="1:1" x14ac:dyDescent="0.2">
      <c r="A200" s="4"/>
    </row>
    <row r="201" spans="1:1" x14ac:dyDescent="0.2">
      <c r="A201" s="4"/>
    </row>
    <row r="202" spans="1:1" x14ac:dyDescent="0.2">
      <c r="A202" s="4"/>
    </row>
    <row r="203" spans="1:1" x14ac:dyDescent="0.2">
      <c r="A203" s="4"/>
    </row>
    <row r="204" spans="1:1" x14ac:dyDescent="0.2">
      <c r="A204" s="4"/>
    </row>
    <row r="205" spans="1:1" x14ac:dyDescent="0.2">
      <c r="A205" s="4"/>
    </row>
    <row r="206" spans="1:1" x14ac:dyDescent="0.2">
      <c r="A206" s="4"/>
    </row>
    <row r="207" spans="1:1" x14ac:dyDescent="0.2">
      <c r="A207" s="4"/>
    </row>
    <row r="208" spans="1:1" x14ac:dyDescent="0.2">
      <c r="A208" s="4"/>
    </row>
    <row r="209" spans="1:1" x14ac:dyDescent="0.2">
      <c r="A209" s="4"/>
    </row>
    <row r="210" spans="1:1" x14ac:dyDescent="0.2">
      <c r="A210" s="4"/>
    </row>
    <row r="211" spans="1:1" x14ac:dyDescent="0.2">
      <c r="A211" s="4"/>
    </row>
    <row r="212" spans="1:1" x14ac:dyDescent="0.2">
      <c r="A212" s="4"/>
    </row>
    <row r="213" spans="1:1" x14ac:dyDescent="0.2">
      <c r="A213" s="4"/>
    </row>
    <row r="214" spans="1:1" x14ac:dyDescent="0.2">
      <c r="A214" s="4"/>
    </row>
    <row r="215" spans="1:1" x14ac:dyDescent="0.2">
      <c r="A215" s="4"/>
    </row>
    <row r="216" spans="1:1" x14ac:dyDescent="0.2">
      <c r="A216" s="4"/>
    </row>
    <row r="217" spans="1:1" x14ac:dyDescent="0.2">
      <c r="A217" s="4"/>
    </row>
    <row r="218" spans="1:1" x14ac:dyDescent="0.2">
      <c r="A218" s="4"/>
    </row>
  </sheetData>
  <autoFilter ref="A1:E218" xr:uid="{E31AAC42-5757-5449-885A-BE1629DCAA63}"/>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A4222558E32F46A7B24662BCB9CB1E" ma:contentTypeVersion="8" ma:contentTypeDescription="Create a new document." ma:contentTypeScope="" ma:versionID="dca824fd6bc70765305ebc2bf07c9e8e">
  <xsd:schema xmlns:xsd="http://www.w3.org/2001/XMLSchema" xmlns:xs="http://www.w3.org/2001/XMLSchema" xmlns:p="http://schemas.microsoft.com/office/2006/metadata/properties" xmlns:ns2="5dc2986f-9199-4b50-8f94-f34c80f8e7ca" targetNamespace="http://schemas.microsoft.com/office/2006/metadata/properties" ma:root="true" ma:fieldsID="04f40b43849b657032e89762f4b1b713" ns2:_="">
    <xsd:import namespace="5dc2986f-9199-4b50-8f94-f34c80f8e7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2986f-9199-4b50-8f94-f34c80f8e7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A6BBA7-6871-4353-9C6B-FBE0D066E1BE}">
  <ds:schemaRefs>
    <ds:schemaRef ds:uri="http://schemas.microsoft.com/sharepoint/v3/contenttype/forms"/>
  </ds:schemaRefs>
</ds:datastoreItem>
</file>

<file path=customXml/itemProps2.xml><?xml version="1.0" encoding="utf-8"?>
<ds:datastoreItem xmlns:ds="http://schemas.openxmlformats.org/officeDocument/2006/customXml" ds:itemID="{074DFEEE-09A0-4033-8313-F0DEEF422A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c2986f-9199-4b50-8f94-f34c80f8e7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CF5C9-AEF7-4978-9611-09AA7954A4B5}">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30e15a99-2787-4658-9a49-e1375a37af84"/>
    <ds:schemaRef ds:uri="http://schemas.microsoft.com/office/infopath/2007/PartnerControls"/>
    <ds:schemaRef ds:uri="f29e537e-536d-4c3d-a73c-f40e94626c0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Source</vt:lpstr>
      <vt:lpstr>Original</vt:lpstr>
      <vt:lpstr>Billet Codes</vt:lpstr>
      <vt:lpstr>Designator Codes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Designators</dc:title>
  <dc:creator>Sneed, Gary A CIV (USA)</dc:creator>
  <cp:lastModifiedBy>Michael Seeberger</cp:lastModifiedBy>
  <dcterms:created xsi:type="dcterms:W3CDTF">2023-08-10T19:28:54Z</dcterms:created>
  <dcterms:modified xsi:type="dcterms:W3CDTF">2026-04-04T11:29:23Z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0x01010040A4222558E32F46A7B24662BCB9CB1E</vt:lpwstr>
  </property>
</Properties>
</file>